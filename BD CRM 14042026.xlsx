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ractocar-my.sharepoint.com/personal/avera_tractocar_com/Documents/Team Comercial/CRM/"/>
    </mc:Choice>
  </mc:AlternateContent>
  <xr:revisionPtr revIDLastSave="1030" documentId="8_{F2A5B7CE-E8D2-40BD-8C9A-6BB22E881C6A}" xr6:coauthVersionLast="47" xr6:coauthVersionMax="47" xr10:uidLastSave="{5C1EF3DB-1391-4748-9F13-7914406634A3}"/>
  <bookViews>
    <workbookView xWindow="-120" yWindow="-120" windowWidth="29040" windowHeight="15720" xr2:uid="{E68C7C40-B1B6-4540-8438-F3ACB83D4A52}"/>
  </bookViews>
  <sheets>
    <sheet name="BD" sheetId="1" r:id="rId1"/>
    <sheet name="Cotizaciones pendientes" sheetId="4" r:id="rId2"/>
    <sheet name="Glosario" sheetId="2" r:id="rId3"/>
  </sheets>
  <calcPr calcId="191028"/>
  <pivotCaches>
    <pivotCache cacheId="77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" i="1" l="1"/>
</calcChain>
</file>

<file path=xl/sharedStrings.xml><?xml version="1.0" encoding="utf-8"?>
<sst xmlns="http://schemas.openxmlformats.org/spreadsheetml/2006/main" count="3039" uniqueCount="558">
  <si>
    <t>Canal</t>
  </si>
  <si>
    <t>Fecha Ingreso Solicitud</t>
  </si>
  <si>
    <t>Hora ingreso Solicitud</t>
  </si>
  <si>
    <t>Fecha de respuesta Solicitud</t>
  </si>
  <si>
    <t>Hora de respuesta Solicitud</t>
  </si>
  <si>
    <t>Fecha Ingreso Cotizacion</t>
  </si>
  <si>
    <t>Fecha Cierre Cotizacion</t>
  </si>
  <si>
    <t>Cliente</t>
  </si>
  <si>
    <t>Tipo de Cliente</t>
  </si>
  <si>
    <t>Contacto</t>
  </si>
  <si>
    <t>Celular</t>
  </si>
  <si>
    <t>Tipo de Solicitud</t>
  </si>
  <si>
    <t>Tipo de Operación</t>
  </si>
  <si>
    <t>Ciudad Origen</t>
  </si>
  <si>
    <t>Ciudad Destino</t>
  </si>
  <si>
    <t>Estado</t>
  </si>
  <si>
    <t>Estado Cotizacion</t>
  </si>
  <si>
    <t>Responsable Cotizacion</t>
  </si>
  <si>
    <t>Accion a Seguir</t>
  </si>
  <si>
    <t>Valor Estimado Negocio</t>
  </si>
  <si>
    <t>Tiempo</t>
  </si>
  <si>
    <t>Observación</t>
  </si>
  <si>
    <t>Importancia Interna</t>
  </si>
  <si>
    <t>Importancia Externa</t>
  </si>
  <si>
    <t>Pagina Web</t>
  </si>
  <si>
    <t>Biocirculo</t>
  </si>
  <si>
    <t>Potenciales</t>
  </si>
  <si>
    <t>Cotizacion Operacion</t>
  </si>
  <si>
    <t>Transporte Urbano</t>
  </si>
  <si>
    <t>Bogotá, Cundinamarca</t>
  </si>
  <si>
    <t>Cotizacion</t>
  </si>
  <si>
    <t>Perdida</t>
  </si>
  <si>
    <t>Angelica de la Peña</t>
  </si>
  <si>
    <t>Nuevo Acercamiento Comercial</t>
  </si>
  <si>
    <t>Argos</t>
  </si>
  <si>
    <t>Transporte Nacional</t>
  </si>
  <si>
    <t>Sergio Casij</t>
  </si>
  <si>
    <t>Correo Electronico</t>
  </si>
  <si>
    <t>D1</t>
  </si>
  <si>
    <t>Arauca</t>
  </si>
  <si>
    <t>Yopal</t>
  </si>
  <si>
    <t>Negociacion</t>
  </si>
  <si>
    <t>Enviada a operaciones</t>
  </si>
  <si>
    <t>Enviar negociación</t>
  </si>
  <si>
    <t>Obycon</t>
  </si>
  <si>
    <t>Sergio Dueñas</t>
  </si>
  <si>
    <t>Sin respuesta Lead</t>
  </si>
  <si>
    <t>Productos Vicky</t>
  </si>
  <si>
    <t>Brand Corp</t>
  </si>
  <si>
    <t>Cotizacion Unica</t>
  </si>
  <si>
    <t>Pendiente Aprobacion</t>
  </si>
  <si>
    <t>Cruz Roja</t>
  </si>
  <si>
    <t>Medellin, Antioquia</t>
  </si>
  <si>
    <t>Necocli, Antioquia</t>
  </si>
  <si>
    <t>Sergio Casseres</t>
  </si>
  <si>
    <t xml:space="preserve">Humberto Perez </t>
  </si>
  <si>
    <t>Comex Impo</t>
  </si>
  <si>
    <t>Hernando Armesto</t>
  </si>
  <si>
    <t>Cielo Plast</t>
  </si>
  <si>
    <t>Cielo Plats</t>
  </si>
  <si>
    <t>Buenaventura, Valle del Cauca</t>
  </si>
  <si>
    <t>Acercamiento</t>
  </si>
  <si>
    <t>No aplica</t>
  </si>
  <si>
    <t>Luis Molina</t>
  </si>
  <si>
    <t>D Sierra</t>
  </si>
  <si>
    <t>Transporte Ultima Milla</t>
  </si>
  <si>
    <t>Enviada a Operaciones</t>
  </si>
  <si>
    <t>Katia Escudero</t>
  </si>
  <si>
    <t>Enviar al Cliente</t>
  </si>
  <si>
    <t>Maria Alejandra</t>
  </si>
  <si>
    <t>Aje Colombia</t>
  </si>
  <si>
    <t>301 2578579</t>
  </si>
  <si>
    <t>Carga Consolidada</t>
  </si>
  <si>
    <t>Maxxi Clean</t>
  </si>
  <si>
    <t>No respuesta por parte del cliente</t>
  </si>
  <si>
    <t>Proveedor</t>
  </si>
  <si>
    <t>Oferta de Servicios</t>
  </si>
  <si>
    <t>304 3533454</t>
  </si>
  <si>
    <t>311 7721393</t>
  </si>
  <si>
    <t>Llamada</t>
  </si>
  <si>
    <t>Afiliado</t>
  </si>
  <si>
    <t>Saldos</t>
  </si>
  <si>
    <t>Consulta Pago de Saldos</t>
  </si>
  <si>
    <t>Se redirecciona a Mileidys Tejada</t>
  </si>
  <si>
    <t>320 7992698</t>
  </si>
  <si>
    <t>Promociones Fantasticas</t>
  </si>
  <si>
    <t>Cartagena, Bolivar</t>
  </si>
  <si>
    <t>Enviada al Cliente</t>
  </si>
  <si>
    <t>Salugran</t>
  </si>
  <si>
    <t>Almacenamiento CEDI</t>
  </si>
  <si>
    <t>Rowinson Suarez</t>
  </si>
  <si>
    <t>Flota</t>
  </si>
  <si>
    <t>Jose Sandoval</t>
  </si>
  <si>
    <t>Se redirecciona a Jose Sandoval</t>
  </si>
  <si>
    <t>Fora</t>
  </si>
  <si>
    <t>Química Victoria SAS</t>
  </si>
  <si>
    <t>300 3200069</t>
  </si>
  <si>
    <t>315 2985452</t>
  </si>
  <si>
    <t>323 2220825</t>
  </si>
  <si>
    <t>Vacante</t>
  </si>
  <si>
    <t>300 6712933</t>
  </si>
  <si>
    <t>RRHH</t>
  </si>
  <si>
    <t>Curriculum</t>
  </si>
  <si>
    <t>Se redirecciona a Alix de la Rosa</t>
  </si>
  <si>
    <t>Woden</t>
  </si>
  <si>
    <t>Michael Malaver</t>
  </si>
  <si>
    <t>Rodvar Metal</t>
  </si>
  <si>
    <t>Esenttia</t>
  </si>
  <si>
    <t>Crossdocking</t>
  </si>
  <si>
    <t>Inicio de operación</t>
  </si>
  <si>
    <t>Ganada</t>
  </si>
  <si>
    <t>Veta Tecnología en Madera</t>
  </si>
  <si>
    <t>Sandra Ortiz</t>
  </si>
  <si>
    <t>Enviada al cliente</t>
  </si>
  <si>
    <t>Mes</t>
  </si>
  <si>
    <t>Juan Castañeda</t>
  </si>
  <si>
    <t xml:space="preserve"> 316 7500712</t>
  </si>
  <si>
    <t>310 8885055</t>
  </si>
  <si>
    <t>324 2834037</t>
  </si>
  <si>
    <t>305 7517303</t>
  </si>
  <si>
    <t>318 6774268</t>
  </si>
  <si>
    <t>301 7285275</t>
  </si>
  <si>
    <t>Jose Restrepo</t>
  </si>
  <si>
    <t>311 2946420</t>
  </si>
  <si>
    <t>C&amp;A 6 SIGMA</t>
  </si>
  <si>
    <t>Quimicos Victoria</t>
  </si>
  <si>
    <t>Daniela Galvez</t>
  </si>
  <si>
    <t>Obara Marketer SAS</t>
  </si>
  <si>
    <t>Plas Hogar</t>
  </si>
  <si>
    <t>Lucelly Matta</t>
  </si>
  <si>
    <t>313 5594109</t>
  </si>
  <si>
    <t>311 4133084</t>
  </si>
  <si>
    <t>301 6720107</t>
  </si>
  <si>
    <t>323 2231834</t>
  </si>
  <si>
    <t>350 3636798</t>
  </si>
  <si>
    <t>302 3397874</t>
  </si>
  <si>
    <t>Ramiro Saenz</t>
  </si>
  <si>
    <t>Infinity ingenierìa</t>
  </si>
  <si>
    <t>M&amp;C Cargo</t>
  </si>
  <si>
    <t>Erika Guerrero</t>
  </si>
  <si>
    <t>DITAR</t>
  </si>
  <si>
    <t>Produced Water EcoServices</t>
  </si>
  <si>
    <t>Johanna Garzon</t>
  </si>
  <si>
    <t>Escuela de aviacion</t>
  </si>
  <si>
    <t>Cali, Valle del Cauca</t>
  </si>
  <si>
    <t>318 2338143</t>
  </si>
  <si>
    <t>Bycsa</t>
  </si>
  <si>
    <t>Aprobada</t>
  </si>
  <si>
    <t>Jamonería Suisa S.A.S</t>
  </si>
  <si>
    <t>Cristian Martinez</t>
  </si>
  <si>
    <t>Madeformas</t>
  </si>
  <si>
    <t>Quantics Global SAS</t>
  </si>
  <si>
    <t>Guigo</t>
  </si>
  <si>
    <t>757 2175522</t>
  </si>
  <si>
    <t>(904)9161099</t>
  </si>
  <si>
    <t>302 5414060</t>
  </si>
  <si>
    <t>Succedo</t>
  </si>
  <si>
    <t>Erick</t>
  </si>
  <si>
    <t>Estefania Bañol</t>
  </si>
  <si>
    <t>Fernando Arevalo Licores</t>
  </si>
  <si>
    <t>Cali</t>
  </si>
  <si>
    <t>310 3702816</t>
  </si>
  <si>
    <t>301 6825660</t>
  </si>
  <si>
    <t>318 4613212</t>
  </si>
  <si>
    <t>Alimentos Polar</t>
  </si>
  <si>
    <t>En Desarrollo</t>
  </si>
  <si>
    <t>Unica</t>
  </si>
  <si>
    <t>Alta</t>
  </si>
  <si>
    <t>317 76427398</t>
  </si>
  <si>
    <t>324 3469130</t>
  </si>
  <si>
    <t>301 5235920</t>
  </si>
  <si>
    <t>323 9621966</t>
  </si>
  <si>
    <t>322 3262426</t>
  </si>
  <si>
    <t>META</t>
  </si>
  <si>
    <t>Engranaje Group</t>
  </si>
  <si>
    <t xml:space="preserve">intertrabns CO </t>
  </si>
  <si>
    <t>305 7713597</t>
  </si>
  <si>
    <t>Familia</t>
  </si>
  <si>
    <t>Guachené, Cauca</t>
  </si>
  <si>
    <t>Andres Vera</t>
  </si>
  <si>
    <t>Comex Expo</t>
  </si>
  <si>
    <t>55 11 94537-9257</t>
  </si>
  <si>
    <t>311 8195407</t>
  </si>
  <si>
    <t>COMPAS</t>
  </si>
  <si>
    <t>302 2685669</t>
  </si>
  <si>
    <t>333 2572722</t>
  </si>
  <si>
    <t>312 2231019</t>
  </si>
  <si>
    <t>321 8781629</t>
  </si>
  <si>
    <t>318 3385812</t>
  </si>
  <si>
    <t>Expo Sucre</t>
  </si>
  <si>
    <t>ITR</t>
  </si>
  <si>
    <t>SOMATEC</t>
  </si>
  <si>
    <t>321 3120637</t>
  </si>
  <si>
    <t>316 2351908</t>
  </si>
  <si>
    <t>311 2507980</t>
  </si>
  <si>
    <t>310 4764617</t>
  </si>
  <si>
    <t>314 3966394</t>
  </si>
  <si>
    <t>Aliños la Pureza</t>
  </si>
  <si>
    <t>320 3929019</t>
  </si>
  <si>
    <t>316 5332281</t>
  </si>
  <si>
    <t>300 6176239</t>
  </si>
  <si>
    <t>Setas de la Costa</t>
  </si>
  <si>
    <t>Inity</t>
  </si>
  <si>
    <t>Natalia Ramirez</t>
  </si>
  <si>
    <t>Impo China</t>
  </si>
  <si>
    <t>320 6257274</t>
  </si>
  <si>
    <t>300 8568254</t>
  </si>
  <si>
    <t>Alexander Montealegre</t>
  </si>
  <si>
    <t xml:space="preserve">310 4620784 </t>
  </si>
  <si>
    <t>313 8056194</t>
  </si>
  <si>
    <t>Deisy Garcia</t>
  </si>
  <si>
    <t>Meico</t>
  </si>
  <si>
    <t>Licitacion</t>
  </si>
  <si>
    <t>318 5145561</t>
  </si>
  <si>
    <t>304 3871182</t>
  </si>
  <si>
    <t>310 4706215</t>
  </si>
  <si>
    <t>301 1487731</t>
  </si>
  <si>
    <t>318 8322186</t>
  </si>
  <si>
    <t>310 3731338</t>
  </si>
  <si>
    <t>310 3545601</t>
  </si>
  <si>
    <t>319 6889994</t>
  </si>
  <si>
    <t>313 5785040</t>
  </si>
  <si>
    <t>313 8431189</t>
  </si>
  <si>
    <t>310 6101929</t>
  </si>
  <si>
    <t>310 2041457</t>
  </si>
  <si>
    <t>316 8602241</t>
  </si>
  <si>
    <t>322 4816053</t>
  </si>
  <si>
    <t>320 4492637</t>
  </si>
  <si>
    <t>Teclogi</t>
  </si>
  <si>
    <t>313 5352083</t>
  </si>
  <si>
    <t>301 7685484</t>
  </si>
  <si>
    <t>310 8003244</t>
  </si>
  <si>
    <t>317 6171900</t>
  </si>
  <si>
    <t>Tienda de helados</t>
  </si>
  <si>
    <t>Ladrillera Melendez</t>
  </si>
  <si>
    <t>Ventas Carbono</t>
  </si>
  <si>
    <t>312 2243410</t>
  </si>
  <si>
    <t xml:space="preserve"> 313 7103448</t>
  </si>
  <si>
    <t>313 7103448</t>
  </si>
  <si>
    <t xml:space="preserve"> 320 5417263</t>
  </si>
  <si>
    <t>302 2379832</t>
  </si>
  <si>
    <t>Kaoz Industries</t>
  </si>
  <si>
    <t>310 7953141</t>
  </si>
  <si>
    <t>Agro Sasevi</t>
  </si>
  <si>
    <t>Sin cobertura</t>
  </si>
  <si>
    <t>TIBA</t>
  </si>
  <si>
    <t>Yuri Pinilla</t>
  </si>
  <si>
    <t>Nacional</t>
  </si>
  <si>
    <t>Media</t>
  </si>
  <si>
    <t>Life innovation</t>
  </si>
  <si>
    <t>301 3228521</t>
  </si>
  <si>
    <t>Tienda Gekkomas</t>
  </si>
  <si>
    <t>Pintuco</t>
  </si>
  <si>
    <t>FOREX CARGO</t>
  </si>
  <si>
    <t>320 7124253</t>
  </si>
  <si>
    <t xml:space="preserve">Alma Logistica </t>
  </si>
  <si>
    <t>314 4149496</t>
  </si>
  <si>
    <t>312 8978834</t>
  </si>
  <si>
    <t>Sebastian Carpago</t>
  </si>
  <si>
    <t>Forexcargo</t>
  </si>
  <si>
    <t>Marisol Torres</t>
  </si>
  <si>
    <t>310 7308538</t>
  </si>
  <si>
    <t>317 6971049</t>
  </si>
  <si>
    <t>314 6407034</t>
  </si>
  <si>
    <t>Neolitico</t>
  </si>
  <si>
    <t>Construsol</t>
  </si>
  <si>
    <t>Carlos Torres</t>
  </si>
  <si>
    <t>312 2905289</t>
  </si>
  <si>
    <t>Seguimiento al cliente</t>
  </si>
  <si>
    <t>314 4660225</t>
  </si>
  <si>
    <t>304 3801442</t>
  </si>
  <si>
    <t>Makro</t>
  </si>
  <si>
    <t>Amanda</t>
  </si>
  <si>
    <t>313 3334774</t>
  </si>
  <si>
    <t>Valle del cauca</t>
  </si>
  <si>
    <t>Pulpo Chileno</t>
  </si>
  <si>
    <t>Tiempo de respuesta</t>
  </si>
  <si>
    <t>311 4444960</t>
  </si>
  <si>
    <t>300 7025705</t>
  </si>
  <si>
    <t>86 13619299256</t>
  </si>
  <si>
    <t>318 3500285</t>
  </si>
  <si>
    <t>319 2787784</t>
  </si>
  <si>
    <t>313 6475858</t>
  </si>
  <si>
    <t>314 6171129</t>
  </si>
  <si>
    <t>322 6042580</t>
  </si>
  <si>
    <t>304 3548591</t>
  </si>
  <si>
    <t>304 3628941</t>
  </si>
  <si>
    <t>311 8918328</t>
  </si>
  <si>
    <t>313 3224668</t>
  </si>
  <si>
    <t>324 6831286</t>
  </si>
  <si>
    <t>321 2288519</t>
  </si>
  <si>
    <t>312 21501720</t>
  </si>
  <si>
    <t>322 5116858</t>
  </si>
  <si>
    <t>324 4925904</t>
  </si>
  <si>
    <t>Tecnoempaques</t>
  </si>
  <si>
    <t>312 5681906</t>
  </si>
  <si>
    <t>310 8055213</t>
  </si>
  <si>
    <t>301 6442700</t>
  </si>
  <si>
    <t>Pinturas Prime</t>
  </si>
  <si>
    <t>302 1255047</t>
  </si>
  <si>
    <t>312 7314953</t>
  </si>
  <si>
    <t>321 3937453</t>
  </si>
  <si>
    <t>304 6729602</t>
  </si>
  <si>
    <t>311 5591396</t>
  </si>
  <si>
    <t>314 4782984</t>
  </si>
  <si>
    <t>Logistica Super Ceramic</t>
  </si>
  <si>
    <t>320 9936925</t>
  </si>
  <si>
    <t>310 5304880</t>
  </si>
  <si>
    <t>311 8924148</t>
  </si>
  <si>
    <t>304 6500030</t>
  </si>
  <si>
    <t>322 7194817</t>
  </si>
  <si>
    <t>Alfredo  Gonzalez</t>
  </si>
  <si>
    <t>Juan Luengas</t>
  </si>
  <si>
    <t>Documentacion</t>
  </si>
  <si>
    <t>318 6790652</t>
  </si>
  <si>
    <t>310 2251132</t>
  </si>
  <si>
    <t>302 8062498</t>
  </si>
  <si>
    <t>Tatiana Mendoza</t>
  </si>
  <si>
    <t>86 19977648259</t>
  </si>
  <si>
    <t>319 5449177</t>
  </si>
  <si>
    <t>314 4350013</t>
  </si>
  <si>
    <t>Luxent</t>
  </si>
  <si>
    <t>Impadoc</t>
  </si>
  <si>
    <t>316 4802501</t>
  </si>
  <si>
    <t>Parasoles Tropicales</t>
  </si>
  <si>
    <t>Alejandro Parada</t>
  </si>
  <si>
    <t>312 5844464</t>
  </si>
  <si>
    <t>312 3778654</t>
  </si>
  <si>
    <t>321 9024102</t>
  </si>
  <si>
    <t>Vision Sport</t>
  </si>
  <si>
    <t>Unico</t>
  </si>
  <si>
    <t>Polymar</t>
  </si>
  <si>
    <t>Jorge Segrera</t>
  </si>
  <si>
    <t>318 3819512</t>
  </si>
  <si>
    <t>312 8940398</t>
  </si>
  <si>
    <t>321 4849013</t>
  </si>
  <si>
    <t>315 4088613</t>
  </si>
  <si>
    <t>Delagro SAS</t>
  </si>
  <si>
    <t>Diego Salazar</t>
  </si>
  <si>
    <t>Yopal, Casanare</t>
  </si>
  <si>
    <t>Semanal</t>
  </si>
  <si>
    <t>Leonardo Avendaño</t>
  </si>
  <si>
    <t>Paipa, Boyaca</t>
  </si>
  <si>
    <t>Arcos de Vida</t>
  </si>
  <si>
    <t>Rionegro, Antioquia</t>
  </si>
  <si>
    <t>Pereira, Risaralda</t>
  </si>
  <si>
    <t>Meyer Varela</t>
  </si>
  <si>
    <t>Johana Cano</t>
  </si>
  <si>
    <t>Industrial e Ingeniería AT</t>
  </si>
  <si>
    <t>Arnaldo Troncozo</t>
  </si>
  <si>
    <t>Santa Marta, Madgalena</t>
  </si>
  <si>
    <t>Albania, Guajira</t>
  </si>
  <si>
    <t>One Marketing S.A.S.</t>
  </si>
  <si>
    <t>Fredy Romero</t>
  </si>
  <si>
    <t>Mosquera, Cundinamarca</t>
  </si>
  <si>
    <t>Carolina Gomez</t>
  </si>
  <si>
    <t>Diego Daza</t>
  </si>
  <si>
    <t>Santander de Quilichao, Cauca</t>
  </si>
  <si>
    <t>Yumbo, Valle del Cauca</t>
  </si>
  <si>
    <t>Reforestadora Los Retiros</t>
  </si>
  <si>
    <t>Eyda Rueda</t>
  </si>
  <si>
    <t>El Retiro, Antioquia</t>
  </si>
  <si>
    <t>Diego Zapata</t>
  </si>
  <si>
    <t>Jeison Pedraza</t>
  </si>
  <si>
    <t>Juan Ospina</t>
  </si>
  <si>
    <t>Alejandra</t>
  </si>
  <si>
    <t>Jorman Reales</t>
  </si>
  <si>
    <t>Multidrogas de Colomia</t>
  </si>
  <si>
    <t>313 6537042</t>
  </si>
  <si>
    <t>Montería</t>
  </si>
  <si>
    <t>Medellín</t>
  </si>
  <si>
    <t>Cimex SA</t>
  </si>
  <si>
    <t>Katherine Rendon</t>
  </si>
  <si>
    <t>Cucuta, Norte de Santander</t>
  </si>
  <si>
    <t>Grupo logistico ZF</t>
  </si>
  <si>
    <t>Cristian Arias</t>
  </si>
  <si>
    <t>Inginius Group</t>
  </si>
  <si>
    <t>Dayanna</t>
  </si>
  <si>
    <t>Enviar a operaciones</t>
  </si>
  <si>
    <t>Agrobrokers</t>
  </si>
  <si>
    <t>Francy</t>
  </si>
  <si>
    <t>311 5032869</t>
  </si>
  <si>
    <t>Techno stell Industries</t>
  </si>
  <si>
    <t>Jhon Vargas</t>
  </si>
  <si>
    <t>311 4900182</t>
  </si>
  <si>
    <t>Bogotá</t>
  </si>
  <si>
    <t>Arrendamiento de Bodega</t>
  </si>
  <si>
    <t>Megaplast</t>
  </si>
  <si>
    <t>Sebastian Rodriguez</t>
  </si>
  <si>
    <t>310 6696119</t>
  </si>
  <si>
    <t>Venezuela</t>
  </si>
  <si>
    <t>317 6630320</t>
  </si>
  <si>
    <t>321 3297513</t>
  </si>
  <si>
    <t>Proalimenticios</t>
  </si>
  <si>
    <t>Johana Mezquita</t>
  </si>
  <si>
    <t>317 5093840</t>
  </si>
  <si>
    <t>321 9779275</t>
  </si>
  <si>
    <t>Mercadeo Efectivo</t>
  </si>
  <si>
    <t>Andrea Galvis</t>
  </si>
  <si>
    <t>317 3681246</t>
  </si>
  <si>
    <t>Lava Muebles del Macizo</t>
  </si>
  <si>
    <t>Jeffrey Cordoba</t>
  </si>
  <si>
    <t>San Agustin, Huila</t>
  </si>
  <si>
    <t>Lia Vivanco</t>
  </si>
  <si>
    <t>320 2829151</t>
  </si>
  <si>
    <t>322 3859040</t>
  </si>
  <si>
    <t>312 5071036</t>
  </si>
  <si>
    <t>Liquidación</t>
  </si>
  <si>
    <t>Redireccionada a Jessica</t>
  </si>
  <si>
    <t>Neiva</t>
  </si>
  <si>
    <t>Armenia</t>
  </si>
  <si>
    <t>Victor Rios</t>
  </si>
  <si>
    <t>Daniela Morron</t>
  </si>
  <si>
    <t>Leonardo Pajaro</t>
  </si>
  <si>
    <t xml:space="preserve">Pagina Web </t>
  </si>
  <si>
    <t>314 4375797</t>
  </si>
  <si>
    <t>A&amp;V Soluciones integrales</t>
  </si>
  <si>
    <t>320 6185200</t>
  </si>
  <si>
    <t>Rosa</t>
  </si>
  <si>
    <t>300 5191966</t>
  </si>
  <si>
    <t>Mard Group</t>
  </si>
  <si>
    <t>Catalina</t>
  </si>
  <si>
    <t>320 6476570</t>
  </si>
  <si>
    <t>Medellin</t>
  </si>
  <si>
    <t>Sincelejo</t>
  </si>
  <si>
    <t>Cristian Rincon</t>
  </si>
  <si>
    <t>Comerfisa</t>
  </si>
  <si>
    <t>Mauricio Rodriguez</t>
  </si>
  <si>
    <t>Cerete, Cordoba</t>
  </si>
  <si>
    <t>Chiquinquira, Boyaca</t>
  </si>
  <si>
    <t>Carlos Sanchez</t>
  </si>
  <si>
    <t>Tumaco, Nariño</t>
  </si>
  <si>
    <t>La Paila, Valle del Cauca</t>
  </si>
  <si>
    <t>Softys</t>
  </si>
  <si>
    <t>Simon Verdugo</t>
  </si>
  <si>
    <t>Tocancipa</t>
  </si>
  <si>
    <t>Esteban Lopez</t>
  </si>
  <si>
    <t>Cota, Cundinamarca</t>
  </si>
  <si>
    <t>Sogamoso, Boyaca</t>
  </si>
  <si>
    <t>Jhon Pabon</t>
  </si>
  <si>
    <t>Carlos Roldan</t>
  </si>
  <si>
    <t>Cristian Moreno</t>
  </si>
  <si>
    <t>322 7437064</t>
  </si>
  <si>
    <t>Cartago</t>
  </si>
  <si>
    <t>La dorada Caldas</t>
  </si>
  <si>
    <t>Baja</t>
  </si>
  <si>
    <t>Importadora Montecarlo</t>
  </si>
  <si>
    <t>Yury Gomez</t>
  </si>
  <si>
    <t>321 2286972</t>
  </si>
  <si>
    <t>SILOGISTICA</t>
  </si>
  <si>
    <t>J Acero</t>
  </si>
  <si>
    <t>310 3270274</t>
  </si>
  <si>
    <t>Cartagena</t>
  </si>
  <si>
    <t>Nancy Torres</t>
  </si>
  <si>
    <t>VoBo Comercial</t>
  </si>
  <si>
    <t>Union Medical</t>
  </si>
  <si>
    <t>Alejandro Muñoz</t>
  </si>
  <si>
    <t>321 8214534</t>
  </si>
  <si>
    <t>324 2135954</t>
  </si>
  <si>
    <t>Julian Gomez</t>
  </si>
  <si>
    <t>317 2584930</t>
  </si>
  <si>
    <t>320 7893838</t>
  </si>
  <si>
    <t>Yulieth</t>
  </si>
  <si>
    <t>302 3171433</t>
  </si>
  <si>
    <t>Resiter</t>
  </si>
  <si>
    <t>Milena Prada</t>
  </si>
  <si>
    <t>313 6582988</t>
  </si>
  <si>
    <t>Buritica</t>
  </si>
  <si>
    <t>Cotizar</t>
  </si>
  <si>
    <t>Direcciones hidraunicas Mack</t>
  </si>
  <si>
    <t>Nicolle</t>
  </si>
  <si>
    <t>313 3576182</t>
  </si>
  <si>
    <t>Cucuta</t>
  </si>
  <si>
    <t>Zipaquira</t>
  </si>
  <si>
    <t>Juan Camilo Zapata</t>
  </si>
  <si>
    <t>323 5985123</t>
  </si>
  <si>
    <t>Flota Disponible</t>
  </si>
  <si>
    <t>Villavicencio</t>
  </si>
  <si>
    <t>Forestpa</t>
  </si>
  <si>
    <t>310 4256029</t>
  </si>
  <si>
    <t>Yurley Vargas</t>
  </si>
  <si>
    <t>Servicios Hidraulicos</t>
  </si>
  <si>
    <t>Tienda Lady</t>
  </si>
  <si>
    <t>Total 06/03/2026</t>
  </si>
  <si>
    <t>Total Transporte Ultima Milla</t>
  </si>
  <si>
    <t>Total Aje Colombia</t>
  </si>
  <si>
    <t>Total 19/03/2026</t>
  </si>
  <si>
    <t>Total Comex Impo</t>
  </si>
  <si>
    <t>Total Alexander Montealegre</t>
  </si>
  <si>
    <t>Total 25/03/2026</t>
  </si>
  <si>
    <t>Total Aliños la Pureza</t>
  </si>
  <si>
    <t>Total 01/04/2026</t>
  </si>
  <si>
    <t>Total Transporte Nacional</t>
  </si>
  <si>
    <t xml:space="preserve">Total Alma Logistica </t>
  </si>
  <si>
    <t>Total 14/03/2026</t>
  </si>
  <si>
    <t>Total COMPAS</t>
  </si>
  <si>
    <t>Total 27/02/2026</t>
  </si>
  <si>
    <t>Total D Sierra</t>
  </si>
  <si>
    <t>Total 06/02/2026</t>
  </si>
  <si>
    <t>Total D1</t>
  </si>
  <si>
    <t>Total Escuela de aviacion</t>
  </si>
  <si>
    <t>Total 26/03/2026</t>
  </si>
  <si>
    <t>Total ITR</t>
  </si>
  <si>
    <t>Total Expo Sucre</t>
  </si>
  <si>
    <t>Total 31/03/2026</t>
  </si>
  <si>
    <t>Total Forexcargo</t>
  </si>
  <si>
    <t>Total 05/03/2026</t>
  </si>
  <si>
    <t>Total Infinity ingenierìa</t>
  </si>
  <si>
    <t>Total Inity</t>
  </si>
  <si>
    <t>Total 09/03/2026</t>
  </si>
  <si>
    <t>Total Jamonería Suisa S.A.S</t>
  </si>
  <si>
    <t>Total Madeformas</t>
  </si>
  <si>
    <t>Total Makro</t>
  </si>
  <si>
    <t>Total Sebastian Carpago</t>
  </si>
  <si>
    <t>Total Succedo</t>
  </si>
  <si>
    <t>Total 03/03/2026</t>
  </si>
  <si>
    <t>Total Woden</t>
  </si>
  <si>
    <t>Total general</t>
  </si>
  <si>
    <t>Comentarios</t>
  </si>
  <si>
    <t>Agencia</t>
  </si>
  <si>
    <t>Estado de cotización</t>
  </si>
  <si>
    <t>No iniciado</t>
  </si>
  <si>
    <t>No gestionado</t>
  </si>
  <si>
    <t>Clientes que no hacen parte de nuestro portafolio</t>
  </si>
  <si>
    <t>Correo electronico o WhatsApp</t>
  </si>
  <si>
    <t>Clientes que hacen parte de nuestro portafolio de clientes, pero con los cuales se pueden desarrollar nuevas operaciones</t>
  </si>
  <si>
    <t>Barranquilla</t>
  </si>
  <si>
    <t>Visitado</t>
  </si>
  <si>
    <t>Reunion por llamada, Teams o presencial</t>
  </si>
  <si>
    <t>Por Recuperar</t>
  </si>
  <si>
    <t>Clientes que hacen parte de nuestro portafolio, pero con los cuales no se tienen venta</t>
  </si>
  <si>
    <t>Paqueteria</t>
  </si>
  <si>
    <t>Cotizacion enviada a operaciones</t>
  </si>
  <si>
    <t>Activos</t>
  </si>
  <si>
    <t>Transporte Refrigerado</t>
  </si>
  <si>
    <t>Negociacion de tarifas</t>
  </si>
  <si>
    <t>Gachancipá</t>
  </si>
  <si>
    <t>Envio de documentacion pertinente para la creacion del cliente en sistema</t>
  </si>
  <si>
    <t>Tocancipá</t>
  </si>
  <si>
    <t>Evaluacion de seguridad</t>
  </si>
  <si>
    <t>Solicitud Documentos</t>
  </si>
  <si>
    <t>Aprobado</t>
  </si>
  <si>
    <t>Cliente creado en nuestro sistema</t>
  </si>
  <si>
    <t>Buenaventura</t>
  </si>
  <si>
    <t>Colocacion de vehiculos o venta ejecutada</t>
  </si>
  <si>
    <t>Madrid</t>
  </si>
  <si>
    <t>Otro</t>
  </si>
  <si>
    <t>Patio de Contenedores</t>
  </si>
  <si>
    <t>No Aceptada</t>
  </si>
  <si>
    <t>Cotizacion no aceptada por el cliente</t>
  </si>
  <si>
    <t>Propuesta Comercial</t>
  </si>
  <si>
    <t>Propuesta comercial enviada</t>
  </si>
  <si>
    <t>Transporte Internacional Venezuela</t>
  </si>
  <si>
    <t>Transporte Internacional Ecuador</t>
  </si>
  <si>
    <t>Transporte Internacional EEUU</t>
  </si>
  <si>
    <t>Agenciamiento Aduanero</t>
  </si>
  <si>
    <t>Consultoria - Estrategia de solucion</t>
  </si>
  <si>
    <t>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</si>
</sst>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$&quot;\ #,##0"/>
    <numFmt numFmtId="166" formatCode="d/mm/yyyy"/>
  </numFmts>
  <fonts count="4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0" xfId="0" applyFill="1" applyBorder="1"/>
    <xf numFmtId="0" fontId="0" fillId="0" borderId="10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8" xfId="0" applyNumberFormat="1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1" fillId="0" borderId="8" xfId="0" applyNumberFormat="1" applyFont="1" applyBorder="1" applyAlignment="1">
      <alignment horizontal="left" vertical="center"/>
    </xf>
    <xf numFmtId="165" fontId="1" fillId="0" borderId="9" xfId="0" applyNumberFormat="1" applyFont="1" applyBorder="1" applyAlignment="1">
      <alignment horizontal="left" vertical="center"/>
    </xf>
    <xf numFmtId="0" fontId="0" fillId="0" borderId="0" xfId="0" pivotButton="1"/>
    <xf numFmtId="14" fontId="0" fillId="0" borderId="0" xfId="0" applyNumberFormat="1"/>
    <xf numFmtId="166" fontId="1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166" fontId="1" fillId="0" borderId="8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30"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[$-F400]h:mm:ss\ AM/P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[$-F400]h:mm:ss\ AM/P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363129745368" createdVersion="8" refreshedVersion="8" minRefreshableVersion="3" recordCount="306" xr:uid="{F76DB425-280F-4732-9ABC-0DBAAE885F3C}">
  <cacheSource type="worksheet">
    <worksheetSource ref="A1:W329" sheet="BD"/>
  </cacheSource>
  <cacheFields count="23">
    <cacheField name="Canal" numFmtId="0">
      <sharedItems containsBlank="1"/>
    </cacheField>
    <cacheField name="Fecha Ingreso Solicitud" numFmtId="0">
      <sharedItems containsNonDate="0" containsDate="1" containsString="0" containsBlank="1" minDate="2026-02-04T00:00:00" maxDate="2026-04-21T00:00:00"/>
    </cacheField>
    <cacheField name="Hora ingreso Solicitud" numFmtId="0">
      <sharedItems containsNonDate="0" containsDate="1" containsString="0" containsBlank="1" minDate="1899-12-30T01:18:00" maxDate="1899-12-30T23:02:00"/>
    </cacheField>
    <cacheField name="Fecha de respuesta Solicitud" numFmtId="0">
      <sharedItems containsNonDate="0" containsDate="1" containsString="0" containsBlank="1" minDate="2025-02-04T00:00:00" maxDate="2026-04-21T00:00:00"/>
    </cacheField>
    <cacheField name="Hora de respuesta Solicitud" numFmtId="0">
      <sharedItems containsNonDate="0" containsDate="1" containsString="0" containsBlank="1" minDate="1899-12-30T04:50:00" maxDate="1899-12-30T18:19:00"/>
    </cacheField>
    <cacheField name="Fecha Ingreso Cotizacion" numFmtId="0">
      <sharedItems containsNonDate="0" containsDate="1" containsString="0" containsBlank="1" minDate="2026-02-04T00:00:00" maxDate="2026-04-15T00:00:00" count="29">
        <m/>
        <d v="2026-03-24T00:00:00"/>
        <d v="2026-02-04T00:00:00"/>
        <d v="2026-02-06T00:00:00"/>
        <d v="2026-02-12T00:00:00"/>
        <d v="2026-02-13T00:00:00"/>
        <d v="2026-02-14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3T00:00:00"/>
        <d v="2026-03-14T00:00:00"/>
        <d v="2026-03-19T00:00:00"/>
        <d v="2026-03-25T00:00:00"/>
        <d v="2026-03-26T00:00:00"/>
        <d v="2026-03-30T00:00:00"/>
        <d v="2026-03-31T00:00:00"/>
        <d v="2026-04-01T00:00:00"/>
        <d v="2026-04-08T00:00:00"/>
        <d v="2026-04-10T00:00:00"/>
        <d v="2026-04-11T00:00:00"/>
        <d v="2026-04-14T00:00:00"/>
        <d v="2026-04-13T00:00:00"/>
        <d v="2026-03-20T00:00:00"/>
        <d v="2026-03-10T00:00:00"/>
      </sharedItems>
    </cacheField>
    <cacheField name="Fecha Cierre Cotizacion" numFmtId="0">
      <sharedItems containsNonDate="0" containsDate="1" containsString="0" containsBlank="1" minDate="2025-03-23T00:00:00" maxDate="2026-04-21T00:00:00"/>
    </cacheField>
    <cacheField name="Cliente" numFmtId="0">
      <sharedItems containsBlank="1" count="111">
        <m/>
        <s v="Luis Molina"/>
        <s v="No aplica"/>
        <s v="Maria Alejandra"/>
        <s v="Fora"/>
        <s v="Química Victoria SAS"/>
        <s v="Juan Castañeda"/>
        <s v="Obara Marketer SAS"/>
        <s v="Plas Hogar"/>
        <s v="Jose Restrepo"/>
        <s v="Lucelly Matta"/>
        <s v="Ramiro Saenz"/>
        <s v="Johanna Garzon"/>
        <s v="Engranaje Group"/>
        <s v="intertrabns CO "/>
        <s v="Impo China"/>
        <s v="Setas de la Costa"/>
        <s v="Teclogi"/>
        <s v="Ladrillera Melendez"/>
        <s v="Ventas Carbono"/>
        <s v="Kaoz Industries"/>
        <s v="Life innovation"/>
        <s v="FOREX CARGO"/>
        <s v="Tienda Gekkomas"/>
        <s v="Pinturas Prime"/>
        <s v="Tecnoempaques"/>
        <s v="luxent"/>
        <s v="Alfredo  Gonzalez"/>
        <s v="Tatiana Mendoza"/>
        <s v="Impadoc"/>
        <s v="Parasoles Tropicales"/>
        <s v="Alejandro Parada"/>
        <s v="Leonardo Avendaño"/>
        <s v="Arcos de Vida"/>
        <s v="Industrial e Ingeniería AT"/>
        <s v="One Marketing S.A.S."/>
        <s v="Alejandra"/>
        <s v="Carolina Gomez"/>
        <s v="Diego Daza"/>
        <s v="Johana Cano"/>
        <s v="Jorman Reales"/>
        <s v="Cimex SA"/>
        <s v="Multidrogas de Colomia"/>
        <s v="Techno stell Industries"/>
        <s v="Agrobrokers"/>
        <s v="Megaplast"/>
        <s v="Liquidación"/>
        <s v="Mercadeo Efectivo"/>
        <s v="Lava Muebles del Macizo"/>
        <s v="Biocirculo"/>
        <s v="Argos"/>
        <s v="Brand Corp"/>
        <s v="Cruz Roja"/>
        <s v="Obycon"/>
        <s v="Productos Vicky"/>
        <s v="Humberto Perez "/>
        <s v="Cielo Plast"/>
        <s v="D Sierra"/>
        <s v="Maxxi Clean"/>
        <s v="Promociones Fantasticas"/>
        <s v="Salugran"/>
        <s v="Woden"/>
        <s v="Rodvar Metal"/>
        <s v="C&amp;A 6 SIGMA"/>
        <s v="Quimicos Victoria"/>
        <s v="Infinity ingenierìa"/>
        <s v="Aje Colombia"/>
        <s v="Escuela de aviacion"/>
        <s v="DITAR"/>
        <s v="Produced Water EcoServices"/>
        <s v="Bycsa"/>
        <s v="Succedo"/>
        <s v="Jamonería Suisa S.A.S"/>
        <s v="Madeformas"/>
        <s v="Quantics Global SAS"/>
        <s v="Familia"/>
        <s v="COMPAS"/>
        <s v="Alexander Montealegre"/>
        <s v="Tienda de helados"/>
        <s v="Aliños la Pureza"/>
        <s v="Expo Sucre"/>
        <s v="Inity"/>
        <s v="SOMATEC"/>
        <s v="Agro Sasevi"/>
        <s v="TIBA"/>
        <s v="M&amp;C Cargo"/>
        <s v="Sebastian Carpago"/>
        <s v="Forexcargo"/>
        <s v="Neolitico"/>
        <s v="Alma Logistica "/>
        <s v="Construsol"/>
        <s v="Makro"/>
        <s v="Juan Luengas"/>
        <s v="Pulpo Chileno"/>
        <s v="Logistica Super Ceramic"/>
        <s v="Vision Sport"/>
        <s v="Delagro SAS"/>
        <s v="Grupo logistico ZF"/>
        <s v="Reforestadora Los Retiros"/>
        <s v="Inginius Group"/>
        <s v="Fernando Arevalo Licores"/>
        <s v="Deisy Garcia"/>
        <s v="Esenttia"/>
        <s v="Alimentos Polar"/>
        <s v="Meico"/>
        <s v="D1"/>
        <s v="Veta Tecnología en Madera"/>
        <s v="Guigo"/>
        <s v="Pintuco"/>
        <s v="Polymar"/>
        <s v="Mard Group"/>
      </sharedItems>
    </cacheField>
    <cacheField name="Tipo de Cliente" numFmtId="0">
      <sharedItems containsBlank="1"/>
    </cacheField>
    <cacheField name="Contacto" numFmtId="0">
      <sharedItems containsBlank="1"/>
    </cacheField>
    <cacheField name="Celular" numFmtId="0">
      <sharedItems containsBlank="1" containsMixedTypes="1" containsNumber="1" containsInteger="1" minValue="3003200069" maxValue="3332732419"/>
    </cacheField>
    <cacheField name="Tipo de Solicitud" numFmtId="0">
      <sharedItems containsBlank="1"/>
    </cacheField>
    <cacheField name="Tipo de Operación" numFmtId="0">
      <sharedItems containsBlank="1" count="13">
        <s v="Transporte Nacional"/>
        <s v="Consulta Pago de Saldos"/>
        <s v="Carga Consolidada"/>
        <s v="Oferta de Servicios"/>
        <s v="Curriculum"/>
        <s v="Comex Impo"/>
        <s v="Almacenamiento CEDI"/>
        <s v="ITR"/>
        <s v="Transporte Urbano"/>
        <m/>
        <s v="Transporte Ultima Milla"/>
        <s v="Comex Expo"/>
        <s v="Crossdocking"/>
      </sharedItems>
    </cacheField>
    <cacheField name="Ciudad Origen" numFmtId="0">
      <sharedItems containsBlank="1"/>
    </cacheField>
    <cacheField name="Ciudad Destino" numFmtId="0">
      <sharedItems containsBlank="1"/>
    </cacheField>
    <cacheField name="Estado" numFmtId="0">
      <sharedItems containsBlank="1"/>
    </cacheField>
    <cacheField name="Estado Cotizacion" numFmtId="0">
      <sharedItems containsBlank="1" count="8">
        <m/>
        <s v="Enviar a operaciones"/>
        <s v="No aplica"/>
        <s v="Perdida"/>
        <s v="Enviada a Operaciones"/>
        <s v="Enviada al Cliente"/>
        <s v="Aprobada"/>
        <s v="Ganada"/>
      </sharedItems>
    </cacheField>
    <cacheField name="Responsable Cotizacion" numFmtId="0">
      <sharedItems containsBlank="1" count="18">
        <m/>
        <s v="Daniela Galvez"/>
        <s v="Andres Vera"/>
        <s v="Leonardo Pajaro"/>
        <s v="Angelica de la Peña"/>
        <s v="Sergio Casij"/>
        <s v="Sergio Dueñas"/>
        <s v="Sergio Casseres"/>
        <s v="Hernando Armesto"/>
        <s v="Katia Escudero"/>
        <s v="Rowinson Suarez"/>
        <s v="Michael Malaver"/>
        <s v="Estefania Bañol"/>
        <s v="Cristian Martinez"/>
        <s v="Erika Guerrero"/>
        <s v="Marisol Torres"/>
        <s v="Diego Zapata"/>
        <s v="No aplica"/>
      </sharedItems>
    </cacheField>
    <cacheField name="Accion a Seguir" numFmtId="0">
      <sharedItems containsBlank="1"/>
    </cacheField>
    <cacheField name="Valor Estimado Negocio" numFmtId="0">
      <sharedItems containsString="0" containsBlank="1" containsNumber="1" containsInteger="1" minValue="1000000" maxValue="800000000"/>
    </cacheField>
    <cacheField name="Tiempo" numFmtId="0">
      <sharedItems containsBlank="1"/>
    </cacheField>
    <cacheField name="Observación" numFmtId="0">
      <sharedItems containsBlank="1"/>
    </cacheField>
    <cacheField name="Importancia Intern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s v="Pagina Web"/>
    <d v="2026-02-25T00:00:00"/>
    <d v="1899-12-30T10:19:00"/>
    <d v="2026-02-25T00:00:00"/>
    <d v="1899-12-30T11:34:00"/>
    <x v="0"/>
    <m/>
    <x v="0"/>
    <s v="Potenciales"/>
    <m/>
    <m/>
    <s v="Cotizacion Operacion"/>
    <x v="0"/>
    <m/>
    <m/>
    <s v="Acercamiento"/>
    <x v="0"/>
    <x v="0"/>
    <m/>
    <m/>
    <m/>
    <m/>
    <m/>
  </r>
  <r>
    <s v="Pagina Web"/>
    <d v="2026-02-26T00:00:00"/>
    <d v="1899-12-30T08:56:00"/>
    <d v="2026-02-26T00:00:00"/>
    <d v="1899-12-30T12:18:00"/>
    <x v="0"/>
    <m/>
    <x v="1"/>
    <s v="Potenciales"/>
    <s v="Luis Molina"/>
    <m/>
    <s v="Cotizacion Operacion"/>
    <x v="0"/>
    <m/>
    <m/>
    <s v="Acercamiento"/>
    <x v="0"/>
    <x v="0"/>
    <m/>
    <m/>
    <m/>
    <m/>
    <m/>
  </r>
  <r>
    <s v="Pagina Web"/>
    <d v="2026-02-26T00:00:00"/>
    <d v="1899-12-30T16:38:00"/>
    <d v="2026-02-27T00:00:00"/>
    <d v="1899-12-30T16:28:00"/>
    <x v="0"/>
    <m/>
    <x v="0"/>
    <s v="Potenciales"/>
    <m/>
    <m/>
    <s v="Cotizacion Unica"/>
    <x v="0"/>
    <m/>
    <m/>
    <s v="Acercamiento"/>
    <x v="0"/>
    <x v="0"/>
    <m/>
    <m/>
    <m/>
    <m/>
    <m/>
  </r>
  <r>
    <s v="Llamada"/>
    <d v="2026-02-27T00:00:00"/>
    <d v="1899-12-30T15:54:00"/>
    <d v="2026-02-27T00:00:00"/>
    <d v="1899-12-30T15:54:00"/>
    <x v="0"/>
    <m/>
    <x v="2"/>
    <s v="Afiliado"/>
    <m/>
    <m/>
    <s v="Saldos"/>
    <x v="1"/>
    <m/>
    <m/>
    <s v="Acercamiento"/>
    <x v="0"/>
    <x v="0"/>
    <s v="Se redirecciona a Mileidys Tejada"/>
    <m/>
    <m/>
    <m/>
    <m/>
  </r>
  <r>
    <s v="Pagina Web"/>
    <d v="2026-02-27T00:00:00"/>
    <d v="1899-12-30T10:53:00"/>
    <d v="2026-02-27T00:00:00"/>
    <d v="1899-12-30T11:10:00"/>
    <x v="0"/>
    <m/>
    <x v="3"/>
    <s v="Potenciales"/>
    <s v="Maria Alejandra"/>
    <m/>
    <s v="Cotizacion Operacion"/>
    <x v="0"/>
    <m/>
    <m/>
    <s v="Acercamiento"/>
    <x v="0"/>
    <x v="0"/>
    <m/>
    <m/>
    <m/>
    <m/>
    <m/>
  </r>
  <r>
    <s v="Pagina Web"/>
    <d v="2026-02-27T00:00:00"/>
    <d v="1899-12-30T14:34:00"/>
    <d v="2026-02-27T00:00:00"/>
    <d v="1899-12-30T16:29:00"/>
    <x v="0"/>
    <m/>
    <x v="0"/>
    <s v="Potenciales"/>
    <m/>
    <s v="301 2578579"/>
    <s v="Cotizacion Unica"/>
    <x v="2"/>
    <m/>
    <m/>
    <s v="Acercamiento"/>
    <x v="0"/>
    <x v="0"/>
    <m/>
    <m/>
    <m/>
    <m/>
    <m/>
  </r>
  <r>
    <s v="Pagina Web"/>
    <d v="2026-02-27T00:00:00"/>
    <d v="1899-12-30T07:15:00"/>
    <d v="2026-02-27T00:00:00"/>
    <d v="1899-12-30T09:08:00"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2-27T00:00:00"/>
    <d v="1899-12-30T13:59:00"/>
    <d v="2026-03-02T00:00:00"/>
    <d v="1899-12-30T15:38:00"/>
    <x v="0"/>
    <m/>
    <x v="0"/>
    <s v="Potenciales"/>
    <m/>
    <s v="304 3533454"/>
    <s v="Proveedor"/>
    <x v="3"/>
    <m/>
    <m/>
    <s v="Acercamiento"/>
    <x v="0"/>
    <x v="0"/>
    <m/>
    <m/>
    <m/>
    <m/>
    <m/>
  </r>
  <r>
    <s v="Pagina Web"/>
    <d v="2026-02-27T00:00:00"/>
    <d v="1899-12-30T12:18:00"/>
    <d v="2026-03-02T00:00:00"/>
    <d v="1899-12-30T15:38:00"/>
    <x v="0"/>
    <m/>
    <x v="0"/>
    <s v="Potenciales"/>
    <m/>
    <s v="311 7721393"/>
    <s v="Proveedor"/>
    <x v="3"/>
    <m/>
    <m/>
    <s v="Acercamiento"/>
    <x v="0"/>
    <x v="0"/>
    <m/>
    <m/>
    <m/>
    <m/>
    <m/>
  </r>
  <r>
    <s v="Pagina Web"/>
    <d v="2026-03-02T00:00:00"/>
    <d v="1899-12-30T09:45:00"/>
    <d v="2026-03-02T00:00:00"/>
    <d v="1899-12-30T16:07:00"/>
    <x v="0"/>
    <m/>
    <x v="2"/>
    <s v="Afiliado"/>
    <m/>
    <m/>
    <s v="Flota"/>
    <x v="0"/>
    <m/>
    <m/>
    <s v="Acercamiento"/>
    <x v="0"/>
    <x v="0"/>
    <s v="Se redirecciona a Jose Sandoval"/>
    <m/>
    <m/>
    <m/>
    <m/>
  </r>
  <r>
    <s v="Pagina Web"/>
    <d v="2026-03-02T00:00:00"/>
    <d v="1899-12-30T13:57:00"/>
    <d v="2026-03-02T00:00:00"/>
    <d v="1899-12-30T15:59:00"/>
    <x v="0"/>
    <m/>
    <x v="2"/>
    <s v="Afiliado"/>
    <m/>
    <m/>
    <s v="Saldos"/>
    <x v="1"/>
    <m/>
    <m/>
    <s v="Acercamiento"/>
    <x v="0"/>
    <x v="0"/>
    <s v="Se redirecciona a Mileidys Tejada"/>
    <m/>
    <m/>
    <m/>
    <m/>
  </r>
  <r>
    <s v="Pagina Web"/>
    <d v="2026-03-02T00:00:00"/>
    <d v="1899-12-30T13:49:00"/>
    <d v="2026-03-02T00:00:00"/>
    <d v="1899-12-30T16:03:00"/>
    <x v="0"/>
    <m/>
    <x v="4"/>
    <s v="Potenciales"/>
    <s v="Fora"/>
    <m/>
    <s v="Proveedor"/>
    <x v="3"/>
    <m/>
    <m/>
    <s v="Acercamiento"/>
    <x v="0"/>
    <x v="0"/>
    <m/>
    <m/>
    <m/>
    <m/>
    <m/>
  </r>
  <r>
    <s v="Pagina Web"/>
    <d v="2026-03-02T00:00:00"/>
    <d v="1899-12-30T13:13:00"/>
    <d v="2026-03-02T00:00:00"/>
    <d v="1899-12-30T14:28:00"/>
    <x v="0"/>
    <m/>
    <x v="5"/>
    <s v="Potenciales"/>
    <s v="Química Victoria SAS"/>
    <m/>
    <s v="Proveedor"/>
    <x v="3"/>
    <m/>
    <m/>
    <s v="Acercamiento"/>
    <x v="0"/>
    <x v="0"/>
    <m/>
    <m/>
    <m/>
    <m/>
    <m/>
  </r>
  <r>
    <s v="Pagina Web"/>
    <d v="2026-03-02T00:00:00"/>
    <d v="1899-12-30T09:49:00"/>
    <d v="2026-03-02T00:00:00"/>
    <d v="1899-12-30T15:43:00"/>
    <x v="0"/>
    <m/>
    <x v="0"/>
    <s v="Vacante"/>
    <m/>
    <s v="300 6712933"/>
    <s v="RRHH"/>
    <x v="4"/>
    <m/>
    <m/>
    <s v="Acercamiento"/>
    <x v="0"/>
    <x v="0"/>
    <s v="Se redirecciona a Alix de la Rosa"/>
    <m/>
    <m/>
    <m/>
    <m/>
  </r>
  <r>
    <s v="Pagina Web"/>
    <d v="2026-03-02T00:00:00"/>
    <d v="1899-12-30T12:18:00"/>
    <d v="2026-03-02T00:00:00"/>
    <d v="1899-12-30T16:22:00"/>
    <x v="0"/>
    <m/>
    <x v="0"/>
    <s v="Potenciales"/>
    <m/>
    <s v="320 7992698"/>
    <s v="Cotizacion Operacion"/>
    <x v="0"/>
    <m/>
    <m/>
    <s v="Acercamiento"/>
    <x v="0"/>
    <x v="0"/>
    <m/>
    <m/>
    <m/>
    <m/>
    <m/>
  </r>
  <r>
    <s v="Pagina Web"/>
    <d v="2026-03-02T00:00:00"/>
    <d v="1899-12-30T13:34:00"/>
    <m/>
    <m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3-02T00:00:00"/>
    <d v="1899-12-30T06:17:00"/>
    <d v="2026-03-02T00:00:00"/>
    <d v="1899-12-30T10:55:00"/>
    <x v="0"/>
    <m/>
    <x v="0"/>
    <s v="Potenciales"/>
    <m/>
    <s v="300 3200069"/>
    <s v="Proveedor"/>
    <x v="3"/>
    <m/>
    <m/>
    <s v="Acercamiento"/>
    <x v="0"/>
    <x v="0"/>
    <m/>
    <m/>
    <m/>
    <m/>
    <m/>
  </r>
  <r>
    <s v="Pagina Web"/>
    <d v="2026-03-02T00:00:00"/>
    <d v="1899-12-30T08:48:00"/>
    <d v="2026-03-02T00:00:00"/>
    <d v="1899-12-30T15:38:00"/>
    <x v="0"/>
    <m/>
    <x v="0"/>
    <s v="Potenciales"/>
    <m/>
    <s v="315 2985452"/>
    <s v="Proveedor"/>
    <x v="3"/>
    <m/>
    <m/>
    <s v="Acercamiento"/>
    <x v="0"/>
    <x v="0"/>
    <m/>
    <m/>
    <m/>
    <m/>
    <m/>
  </r>
  <r>
    <s v="Pagina Web"/>
    <d v="2026-03-02T00:00:00"/>
    <d v="1899-12-30T09:15:00"/>
    <d v="2026-03-02T00:00:00"/>
    <d v="1899-12-30T15:40:00"/>
    <x v="0"/>
    <m/>
    <x v="0"/>
    <s v="Potenciales"/>
    <m/>
    <s v="323 2220825"/>
    <s v="Proveedor"/>
    <x v="3"/>
    <m/>
    <m/>
    <s v="Acercamiento"/>
    <x v="0"/>
    <x v="0"/>
    <m/>
    <m/>
    <m/>
    <m/>
    <m/>
  </r>
  <r>
    <s v="Pagina Web"/>
    <d v="2026-03-03T00:00:00"/>
    <d v="1899-12-30T13:47:00"/>
    <d v="2026-03-03T00:00:00"/>
    <d v="1899-12-30T13:50:00"/>
    <x v="0"/>
    <m/>
    <x v="2"/>
    <s v="Afiliado"/>
    <m/>
    <m/>
    <s v="Saldos"/>
    <x v="1"/>
    <m/>
    <m/>
    <s v="Acercamiento"/>
    <x v="0"/>
    <x v="0"/>
    <s v="Se redirecciona a Mileidys Tejada"/>
    <m/>
    <m/>
    <m/>
    <m/>
  </r>
  <r>
    <s v="Pagina Web"/>
    <d v="2026-03-03T00:00:00"/>
    <d v="1899-12-30T08:40:00"/>
    <d v="2026-03-03T00:00:00"/>
    <d v="1899-12-30T10:45:00"/>
    <x v="0"/>
    <m/>
    <x v="2"/>
    <s v="Afiliado"/>
    <m/>
    <m/>
    <s v="Flota"/>
    <x v="0"/>
    <m/>
    <m/>
    <s v="Acercamiento"/>
    <x v="0"/>
    <x v="0"/>
    <s v="Se redirecciona a Jose Sandoval"/>
    <m/>
    <m/>
    <m/>
    <m/>
  </r>
  <r>
    <s v="Pagina Web"/>
    <d v="2026-03-03T00:00:00"/>
    <d v="1899-12-30T09:15:00"/>
    <d v="2026-03-03T00:00:00"/>
    <d v="1899-12-30T09:15:00"/>
    <x v="0"/>
    <m/>
    <x v="2"/>
    <s v="Afiliado"/>
    <m/>
    <s v="323 2220825"/>
    <s v="Flota"/>
    <x v="0"/>
    <m/>
    <m/>
    <s v="Acercamiento"/>
    <x v="0"/>
    <x v="0"/>
    <s v="Se redirecciona a Jose Sandoval"/>
    <m/>
    <m/>
    <m/>
    <m/>
  </r>
  <r>
    <s v="Pagina Web"/>
    <d v="2026-03-03T00:00:00"/>
    <d v="1899-12-30T08:44:00"/>
    <d v="2026-03-03T00:00:00"/>
    <d v="1899-12-30T10:22:00"/>
    <x v="0"/>
    <m/>
    <x v="6"/>
    <s v="Potenciales"/>
    <s v="Juan Castañeda"/>
    <m/>
    <s v="Cotizacion Unica"/>
    <x v="0"/>
    <m/>
    <m/>
    <s v="Acercamiento"/>
    <x v="0"/>
    <x v="0"/>
    <m/>
    <m/>
    <m/>
    <m/>
    <m/>
  </r>
  <r>
    <s v="Pagina Web"/>
    <d v="2026-03-03T00:00:00"/>
    <d v="1899-12-30T13:20:00"/>
    <d v="2026-03-05T00:00:00"/>
    <d v="1899-12-30T16:13:00"/>
    <x v="0"/>
    <m/>
    <x v="0"/>
    <s v="Potenciales"/>
    <m/>
    <m/>
    <s v="Cotizacion Unica"/>
    <x v="2"/>
    <m/>
    <m/>
    <s v="Acercamiento"/>
    <x v="0"/>
    <x v="0"/>
    <m/>
    <m/>
    <m/>
    <m/>
    <m/>
  </r>
  <r>
    <s v="Pagina Web"/>
    <d v="2026-03-03T00:00:00"/>
    <d v="1899-12-30T13:20:00"/>
    <d v="2026-03-05T00:00:00"/>
    <d v="1899-12-30T16:13:00"/>
    <x v="0"/>
    <m/>
    <x v="0"/>
    <s v="Potenciales"/>
    <m/>
    <n v="3145048639"/>
    <s v="Cotizacion Unica"/>
    <x v="2"/>
    <m/>
    <m/>
    <s v="Acercamiento"/>
    <x v="0"/>
    <x v="0"/>
    <m/>
    <m/>
    <m/>
    <m/>
    <m/>
  </r>
  <r>
    <s v="Pagina Web"/>
    <d v="2026-03-03T00:00:00"/>
    <d v="1899-12-30T17:19:00"/>
    <d v="2026-03-03T00:00:00"/>
    <d v="1899-12-30T17:30:00"/>
    <x v="0"/>
    <m/>
    <x v="0"/>
    <s v="Potenciales"/>
    <m/>
    <s v=" 316 7500712"/>
    <s v="Cotizacion Unica"/>
    <x v="2"/>
    <m/>
    <m/>
    <s v="Acercamiento"/>
    <x v="0"/>
    <x v="0"/>
    <m/>
    <m/>
    <m/>
    <m/>
    <m/>
  </r>
  <r>
    <s v="Pagina Web"/>
    <d v="2026-03-03T00:00:00"/>
    <d v="1899-12-30T17:31:00"/>
    <d v="2026-03-03T00:00:00"/>
    <d v="1899-12-30T05:38:00"/>
    <x v="0"/>
    <m/>
    <x v="0"/>
    <s v="Potenciales"/>
    <m/>
    <s v="310 8885055"/>
    <s v="Cotizacion Unica"/>
    <x v="2"/>
    <m/>
    <m/>
    <s v="Acercamiento"/>
    <x v="0"/>
    <x v="0"/>
    <m/>
    <m/>
    <m/>
    <m/>
    <m/>
  </r>
  <r>
    <s v="Pagina Web"/>
    <d v="2026-03-03T00:00:00"/>
    <d v="1899-12-30T04:39:00"/>
    <d v="2026-03-03T00:00:00"/>
    <d v="1899-12-30T04:50:00"/>
    <x v="0"/>
    <m/>
    <x v="0"/>
    <s v="Potenciales"/>
    <m/>
    <s v="324 2834037"/>
    <s v="Cotizacion Unica"/>
    <x v="2"/>
    <m/>
    <m/>
    <s v="Acercamiento"/>
    <x v="0"/>
    <x v="0"/>
    <m/>
    <m/>
    <m/>
    <m/>
    <m/>
  </r>
  <r>
    <s v="Pagina Web"/>
    <d v="2026-03-03T00:00:00"/>
    <d v="1899-12-30T09:28:00"/>
    <d v="2026-03-03T00:00:00"/>
    <d v="1899-12-30T10:57:00"/>
    <x v="0"/>
    <m/>
    <x v="0"/>
    <s v="Vacante"/>
    <m/>
    <n v="3017285275"/>
    <s v="RRHH"/>
    <x v="4"/>
    <m/>
    <m/>
    <s v="Acercamiento"/>
    <x v="0"/>
    <x v="0"/>
    <s v="Se redirecciona a Alix de la Rosa"/>
    <m/>
    <m/>
    <m/>
    <m/>
  </r>
  <r>
    <s v="Pagina Web"/>
    <d v="2026-03-03T00:00:00"/>
    <d v="1899-12-30T10:11:00"/>
    <d v="2026-03-03T00:00:00"/>
    <d v="1899-12-30T10:53:00"/>
    <x v="0"/>
    <m/>
    <x v="0"/>
    <s v="Vacante"/>
    <m/>
    <n v="3215411175"/>
    <s v="RRHH"/>
    <x v="4"/>
    <m/>
    <m/>
    <s v="Acercamiento"/>
    <x v="0"/>
    <x v="0"/>
    <s v="Se redirecciona a Alix de la Rosa"/>
    <m/>
    <m/>
    <m/>
    <m/>
  </r>
  <r>
    <s v="Pagina Web"/>
    <d v="2026-03-03T00:00:00"/>
    <d v="1899-12-30T10:11:00"/>
    <d v="2026-03-03T00:00:00"/>
    <d v="1899-12-30T10:22:00"/>
    <x v="0"/>
    <m/>
    <x v="0"/>
    <s v="Vacante"/>
    <m/>
    <n v="3215411175"/>
    <s v="RRHH"/>
    <x v="4"/>
    <m/>
    <m/>
    <s v="Acercamiento"/>
    <x v="0"/>
    <x v="0"/>
    <s v="Se redirecciona a Alix de la Rosa"/>
    <m/>
    <m/>
    <m/>
    <m/>
  </r>
  <r>
    <s v="Pagina Web"/>
    <d v="2026-03-03T00:00:00"/>
    <d v="1899-12-30T09:49:00"/>
    <d v="2026-03-03T00:00:00"/>
    <d v="1899-12-30T10:56:00"/>
    <x v="0"/>
    <m/>
    <x v="0"/>
    <s v="Vacante"/>
    <m/>
    <s v="300 6712933"/>
    <s v="RRHH"/>
    <x v="4"/>
    <m/>
    <m/>
    <s v="Acercamiento"/>
    <x v="0"/>
    <x v="0"/>
    <s v="Se redirecciona a Alix de la Rosa"/>
    <m/>
    <m/>
    <m/>
    <m/>
  </r>
  <r>
    <s v="Pagina Web"/>
    <d v="2026-03-03T00:00:00"/>
    <d v="1899-12-30T09:28:00"/>
    <d v="2026-03-03T00:00:00"/>
    <d v="1899-12-30T10:22:00"/>
    <x v="0"/>
    <m/>
    <x v="0"/>
    <s v="Vacante"/>
    <m/>
    <s v="301 7285275"/>
    <s v="RRHH"/>
    <x v="4"/>
    <m/>
    <m/>
    <s v="Acercamiento"/>
    <x v="0"/>
    <x v="0"/>
    <s v="Se redirecciona a Alix de la Rosa"/>
    <m/>
    <m/>
    <m/>
    <m/>
  </r>
  <r>
    <s v="Pagina Web"/>
    <d v="2026-03-03T00:00:00"/>
    <d v="1899-12-30T12:03:00"/>
    <d v="2026-03-03T00:00:00"/>
    <d v="1899-12-30T12:09:00"/>
    <x v="0"/>
    <m/>
    <x v="0"/>
    <s v="Potenciales"/>
    <m/>
    <s v="320 7992698"/>
    <s v="Cotizacion Operacion"/>
    <x v="0"/>
    <m/>
    <m/>
    <s v="Acercamiento"/>
    <x v="0"/>
    <x v="0"/>
    <m/>
    <m/>
    <m/>
    <m/>
    <m/>
  </r>
  <r>
    <s v="Pagina Web"/>
    <d v="2026-03-03T00:00:00"/>
    <d v="1899-12-30T16:50:00"/>
    <d v="2026-03-06T00:00:00"/>
    <d v="1899-12-30T16:34:00"/>
    <x v="0"/>
    <m/>
    <x v="0"/>
    <s v="Potenciales"/>
    <m/>
    <n v="3105819389"/>
    <s v="Cotizacion Operacion"/>
    <x v="0"/>
    <m/>
    <m/>
    <s v="Acercamiento"/>
    <x v="0"/>
    <x v="0"/>
    <m/>
    <m/>
    <m/>
    <m/>
    <m/>
  </r>
  <r>
    <s v="Pagina Web"/>
    <d v="2026-03-03T00:00:00"/>
    <d v="1899-12-30T03:54:00"/>
    <d v="2026-03-03T00:00:00"/>
    <d v="1899-12-30T16:07:00"/>
    <x v="0"/>
    <m/>
    <x v="0"/>
    <s v="Potenciales"/>
    <m/>
    <s v="305 7517303"/>
    <s v="Proveedor"/>
    <x v="3"/>
    <m/>
    <m/>
    <s v="Acercamiento"/>
    <x v="0"/>
    <x v="0"/>
    <m/>
    <m/>
    <m/>
    <m/>
    <m/>
  </r>
  <r>
    <s v="Pagina Web"/>
    <d v="2026-03-03T00:00:00"/>
    <d v="1899-12-30T13:34:00"/>
    <d v="2026-03-03T00:00:00"/>
    <d v="1899-12-30T13:34:00"/>
    <x v="0"/>
    <m/>
    <x v="0"/>
    <s v="Potenciales"/>
    <m/>
    <n v="3205727883"/>
    <s v="Proveedor"/>
    <x v="3"/>
    <m/>
    <m/>
    <s v="Acercamiento"/>
    <x v="0"/>
    <x v="0"/>
    <m/>
    <m/>
    <m/>
    <m/>
    <m/>
  </r>
  <r>
    <s v="Pagina Web"/>
    <d v="2026-03-03T00:00:00"/>
    <d v="1899-12-30T06:17:00"/>
    <d v="2026-03-03T00:00:00"/>
    <d v="1899-12-30T09:07:00"/>
    <x v="0"/>
    <m/>
    <x v="0"/>
    <s v="Potenciales"/>
    <m/>
    <n v="3003200069"/>
    <s v="Proveedor"/>
    <x v="3"/>
    <m/>
    <m/>
    <s v="Acercamiento"/>
    <x v="0"/>
    <x v="0"/>
    <m/>
    <m/>
    <m/>
    <m/>
    <m/>
  </r>
  <r>
    <s v="Pagina Web"/>
    <d v="2026-03-03T00:00:00"/>
    <d v="1899-12-30T08:48:00"/>
    <d v="2026-03-03T00:00:00"/>
    <d v="1899-12-30T09:07:00"/>
    <x v="0"/>
    <m/>
    <x v="0"/>
    <s v="Potenciales"/>
    <m/>
    <n v="3152985452"/>
    <s v="Proveedor"/>
    <x v="3"/>
    <m/>
    <m/>
    <s v="Acercamiento"/>
    <x v="0"/>
    <x v="0"/>
    <m/>
    <m/>
    <m/>
    <m/>
    <m/>
  </r>
  <r>
    <s v="Pagina Web"/>
    <d v="2026-03-03T00:00:00"/>
    <d v="1899-12-30T07:24:00"/>
    <d v="2026-03-03T00:00:00"/>
    <d v="1899-12-30T10:29:00"/>
    <x v="0"/>
    <m/>
    <x v="0"/>
    <s v="Potenciales"/>
    <m/>
    <s v="318 6774268"/>
    <s v="Proveedor"/>
    <x v="3"/>
    <m/>
    <m/>
    <s v="Acercamiento"/>
    <x v="0"/>
    <x v="0"/>
    <m/>
    <m/>
    <m/>
    <m/>
    <m/>
  </r>
  <r>
    <s v="Pagina Web"/>
    <d v="2026-03-03T00:00:00"/>
    <d v="1899-12-30T07:24:00"/>
    <d v="2026-03-03T00:00:00"/>
    <d v="1899-12-30T10:28:00"/>
    <x v="0"/>
    <m/>
    <x v="0"/>
    <s v="Potenciales"/>
    <m/>
    <n v="3186774268"/>
    <s v="Proveedor"/>
    <x v="3"/>
    <m/>
    <m/>
    <s v="Acercamiento"/>
    <x v="0"/>
    <x v="0"/>
    <m/>
    <m/>
    <m/>
    <m/>
    <m/>
  </r>
  <r>
    <s v="Pagina Web"/>
    <d v="2026-03-04T00:00:00"/>
    <d v="1899-12-30T11:27:00"/>
    <d v="2026-03-05T00:00:00"/>
    <d v="1899-12-30T10:10:00"/>
    <x v="0"/>
    <m/>
    <x v="2"/>
    <s v="Afiliado"/>
    <m/>
    <n v="3127497444"/>
    <s v="Flota"/>
    <x v="0"/>
    <m/>
    <m/>
    <s v="Acercamiento"/>
    <x v="0"/>
    <x v="0"/>
    <s v="Se redirecciona a Jose Sandoval"/>
    <m/>
    <m/>
    <m/>
    <m/>
  </r>
  <r>
    <s v="Pagina Web"/>
    <d v="2026-03-04T00:00:00"/>
    <d v="1899-12-30T10:04:00"/>
    <d v="2026-03-06T00:00:00"/>
    <d v="1899-12-30T17:28:00"/>
    <x v="0"/>
    <m/>
    <x v="2"/>
    <s v="Afiliado"/>
    <m/>
    <s v="301 6720107"/>
    <s v="Flota"/>
    <x v="0"/>
    <m/>
    <m/>
    <s v="Acercamiento"/>
    <x v="0"/>
    <x v="0"/>
    <s v="Se redirecciona a Jose Sandoval"/>
    <m/>
    <m/>
    <m/>
    <m/>
  </r>
  <r>
    <s v="Pagina Web"/>
    <d v="2026-03-04T00:00:00"/>
    <d v="1899-12-30T14:33:00"/>
    <d v="2026-03-05T00:00:00"/>
    <d v="1899-12-30T10:09:00"/>
    <x v="0"/>
    <m/>
    <x v="7"/>
    <s v="Potenciales"/>
    <s v="Obara Marketer SAS"/>
    <m/>
    <s v="Cotizacion Unica"/>
    <x v="0"/>
    <m/>
    <m/>
    <s v="Acercamiento"/>
    <x v="0"/>
    <x v="0"/>
    <m/>
    <m/>
    <m/>
    <m/>
    <m/>
  </r>
  <r>
    <s v="Pagina Web"/>
    <d v="2026-03-04T00:00:00"/>
    <d v="1899-12-30T14:45:00"/>
    <d v="2026-03-05T00:00:00"/>
    <d v="1899-12-30T10:12:00"/>
    <x v="0"/>
    <m/>
    <x v="8"/>
    <s v="Potenciales"/>
    <s v="Plas Hogar"/>
    <m/>
    <s v="Cotizacion Unica"/>
    <x v="0"/>
    <m/>
    <m/>
    <s v="Acercamiento"/>
    <x v="0"/>
    <x v="0"/>
    <m/>
    <m/>
    <m/>
    <m/>
    <m/>
  </r>
  <r>
    <s v="Pagina Web"/>
    <d v="2026-03-04T00:00:00"/>
    <d v="1899-12-30T15:16:00"/>
    <d v="2026-03-05T00:00:00"/>
    <d v="1899-12-30T09:08:00"/>
    <x v="0"/>
    <m/>
    <x v="9"/>
    <s v="Potenciales"/>
    <s v="Jose Restrepo"/>
    <m/>
    <s v="Cotizacion Operacion"/>
    <x v="0"/>
    <m/>
    <m/>
    <s v="Acercamiento"/>
    <x v="0"/>
    <x v="0"/>
    <m/>
    <m/>
    <m/>
    <m/>
    <m/>
  </r>
  <r>
    <s v="Pagina Web"/>
    <d v="2026-03-04T00:00:00"/>
    <d v="1899-12-30T15:36:00"/>
    <d v="2026-03-05T00:00:00"/>
    <d v="1899-12-30T08:42:00"/>
    <x v="0"/>
    <m/>
    <x v="10"/>
    <s v="Potenciales"/>
    <s v="Lucelly Matta"/>
    <m/>
    <s v="Cotizacion Unica"/>
    <x v="0"/>
    <m/>
    <m/>
    <s v="Acercamiento"/>
    <x v="0"/>
    <x v="0"/>
    <m/>
    <m/>
    <m/>
    <m/>
    <m/>
  </r>
  <r>
    <s v="Pagina Web"/>
    <d v="2026-03-04T00:00:00"/>
    <d v="1899-12-30T09:39:00"/>
    <d v="2026-03-06T00:00:00"/>
    <d v="1899-12-30T05:34:00"/>
    <x v="0"/>
    <m/>
    <x v="0"/>
    <s v="Potenciales"/>
    <m/>
    <s v="313 5594109"/>
    <s v="Cotizacion Unica"/>
    <x v="2"/>
    <m/>
    <m/>
    <s v="Acercamiento"/>
    <x v="0"/>
    <x v="0"/>
    <m/>
    <m/>
    <m/>
    <m/>
    <m/>
  </r>
  <r>
    <s v="Pagina Web"/>
    <d v="2026-03-04T00:00:00"/>
    <d v="1899-12-30T15:36:00"/>
    <d v="2026-03-05T00:00:00"/>
    <d v="1899-12-30T08:42:00"/>
    <x v="0"/>
    <m/>
    <x v="0"/>
    <s v="Potenciales"/>
    <m/>
    <n v="3168299477"/>
    <s v="Cotizacion Operacion"/>
    <x v="0"/>
    <m/>
    <m/>
    <s v="Acercamiento"/>
    <x v="0"/>
    <x v="0"/>
    <m/>
    <m/>
    <m/>
    <m/>
    <m/>
  </r>
  <r>
    <s v="Pagina Web"/>
    <d v="2026-03-04T00:00:00"/>
    <d v="1899-12-30T12:14:00"/>
    <d v="2026-03-05T00:00:00"/>
    <d v="1899-12-30T09:09:00"/>
    <x v="0"/>
    <m/>
    <x v="0"/>
    <s v="Potenciales"/>
    <m/>
    <s v="311 2946420"/>
    <s v="Cotizacion Operacion"/>
    <x v="0"/>
    <m/>
    <m/>
    <s v="Acercamiento"/>
    <x v="0"/>
    <x v="0"/>
    <m/>
    <m/>
    <m/>
    <m/>
    <m/>
  </r>
  <r>
    <s v="Pagina Web"/>
    <d v="2026-03-04T00:00:00"/>
    <d v="1899-12-30T15:36:00"/>
    <d v="2026-03-06T00:00:00"/>
    <d v="1899-12-30T16:33:00"/>
    <x v="0"/>
    <m/>
    <x v="0"/>
    <s v="Potenciales"/>
    <m/>
    <n v="3117840644"/>
    <s v="Cotizacion Unica"/>
    <x v="0"/>
    <m/>
    <m/>
    <s v="Acercamiento"/>
    <x v="0"/>
    <x v="0"/>
    <m/>
    <m/>
    <m/>
    <m/>
    <m/>
  </r>
  <r>
    <s v="Pagina Web"/>
    <d v="2026-03-04T00:00:00"/>
    <d v="1899-12-30T14:32:00"/>
    <d v="2026-03-06T00:00:00"/>
    <d v="1899-12-30T17:42:00"/>
    <x v="0"/>
    <m/>
    <x v="0"/>
    <s v="Potenciales"/>
    <m/>
    <s v="311 4133084"/>
    <s v="Cotizacion Unica"/>
    <x v="0"/>
    <m/>
    <m/>
    <s v="Acercamiento"/>
    <x v="0"/>
    <x v="0"/>
    <m/>
    <m/>
    <m/>
    <m/>
    <m/>
  </r>
  <r>
    <s v="Pagina Web"/>
    <d v="2026-03-04T00:00:00"/>
    <d v="1899-12-30T14:22:00"/>
    <d v="2026-03-04T00:00:00"/>
    <d v="1899-12-30T14:22:00"/>
    <x v="0"/>
    <m/>
    <x v="0"/>
    <s v="Potenciales"/>
    <m/>
    <s v="323 2231834"/>
    <s v="Proveedor"/>
    <x v="3"/>
    <m/>
    <m/>
    <s v="Acercamiento"/>
    <x v="0"/>
    <x v="0"/>
    <m/>
    <m/>
    <m/>
    <m/>
    <m/>
  </r>
  <r>
    <s v="Pagina Web"/>
    <d v="2026-03-04T00:00:00"/>
    <d v="1899-12-30T11:25:00"/>
    <d v="2026-03-05T00:00:00"/>
    <d v="1899-12-30T08:59:00"/>
    <x v="0"/>
    <m/>
    <x v="0"/>
    <s v="Potenciales"/>
    <m/>
    <s v="350 3636798"/>
    <s v="Proveedor"/>
    <x v="3"/>
    <m/>
    <m/>
    <s v="Acercamiento"/>
    <x v="0"/>
    <x v="0"/>
    <m/>
    <m/>
    <m/>
    <m/>
    <m/>
  </r>
  <r>
    <s v="Pagina Web"/>
    <d v="2026-03-04T00:00:00"/>
    <d v="1899-12-30T13:42:00"/>
    <d v="2026-03-06T00:00:00"/>
    <d v="1899-12-30T17:37:00"/>
    <x v="0"/>
    <m/>
    <x v="0"/>
    <s v="Potenciales"/>
    <m/>
    <s v="302 3397874"/>
    <s v="Proveedor"/>
    <x v="3"/>
    <m/>
    <m/>
    <s v="Acercamiento"/>
    <x v="0"/>
    <x v="0"/>
    <m/>
    <m/>
    <m/>
    <m/>
    <m/>
  </r>
  <r>
    <s v="Pagina Web"/>
    <d v="2026-03-05T00:00:00"/>
    <d v="1899-12-30T16:26:00"/>
    <d v="2026-03-09T00:00:00"/>
    <d v="1899-12-30T10:09:00"/>
    <x v="0"/>
    <m/>
    <x v="2"/>
    <s v="Afiliado"/>
    <m/>
    <n v="3143920916"/>
    <s v="Saldos"/>
    <x v="1"/>
    <m/>
    <m/>
    <s v="Acercamiento"/>
    <x v="0"/>
    <x v="0"/>
    <s v="Se redirecciona a Mileidys Tejada"/>
    <m/>
    <m/>
    <m/>
    <m/>
  </r>
  <r>
    <s v="Pagina Web"/>
    <d v="2026-03-05T00:00:00"/>
    <d v="1899-12-30T13:16:00"/>
    <d v="2026-03-09T00:00:00"/>
    <d v="1899-12-30T09:49:00"/>
    <x v="0"/>
    <m/>
    <x v="11"/>
    <s v="Potenciales"/>
    <s v="Ramiro Saenz"/>
    <m/>
    <s v="Cotizacion Operacion"/>
    <x v="0"/>
    <m/>
    <m/>
    <s v="Acercamiento"/>
    <x v="0"/>
    <x v="0"/>
    <m/>
    <m/>
    <m/>
    <m/>
    <m/>
  </r>
  <r>
    <s v="Pagina Web"/>
    <d v="2026-03-05T00:00:00"/>
    <d v="1899-12-30T13:27:00"/>
    <d v="2026-03-09T00:00:00"/>
    <d v="1899-12-30T09:51:00"/>
    <x v="0"/>
    <m/>
    <x v="0"/>
    <s v="Potenciales"/>
    <m/>
    <n v="3184730554"/>
    <s v="Cotizacion Unica"/>
    <x v="2"/>
    <m/>
    <m/>
    <s v="Acercamiento"/>
    <x v="0"/>
    <x v="0"/>
    <m/>
    <m/>
    <m/>
    <m/>
    <m/>
  </r>
  <r>
    <s v="Pagina Web"/>
    <d v="2026-03-05T00:00:00"/>
    <d v="1899-12-30T14:45:00"/>
    <d v="2026-03-05T00:00:00"/>
    <d v="1899-12-30T14:52:00"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3-05T00:00:00"/>
    <d v="1899-12-30T11:32:00"/>
    <d v="2026-03-09T00:00:00"/>
    <d v="1899-12-30T09:44:00"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3-06T00:00:00"/>
    <d v="1899-12-30T09:46:00"/>
    <d v="2026-03-09T00:00:00"/>
    <d v="1899-12-30T10:07:00"/>
    <x v="0"/>
    <m/>
    <x v="12"/>
    <s v="Potenciales"/>
    <s v="Johanna Garzon"/>
    <m/>
    <s v="Cotizacion Unica"/>
    <x v="0"/>
    <m/>
    <m/>
    <s v="Acercamiento"/>
    <x v="0"/>
    <x v="0"/>
    <m/>
    <m/>
    <m/>
    <m/>
    <m/>
  </r>
  <r>
    <s v="Pagina Web"/>
    <d v="2026-03-06T00:00:00"/>
    <d v="1899-12-30T09:16:00"/>
    <d v="2026-03-06T00:00:00"/>
    <d v="1899-12-30T09:42:00"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3-06T00:00:00"/>
    <d v="1899-12-30T09:56:00"/>
    <d v="2026-03-09T00:00:00"/>
    <d v="1899-12-30T11:27:00"/>
    <x v="0"/>
    <m/>
    <x v="0"/>
    <s v="Potenciales"/>
    <m/>
    <n v="3332732419"/>
    <s v="Proveedor"/>
    <x v="3"/>
    <m/>
    <m/>
    <s v="Acercamiento"/>
    <x v="0"/>
    <x v="0"/>
    <m/>
    <m/>
    <m/>
    <m/>
    <m/>
  </r>
  <r>
    <s v="Pagina Web"/>
    <d v="2026-03-08T00:00:00"/>
    <d v="1899-12-30T16:50:00"/>
    <d v="2026-03-09T00:00:00"/>
    <d v="1899-12-30T10:32:00"/>
    <x v="0"/>
    <m/>
    <x v="0"/>
    <s v="Potenciales"/>
    <m/>
    <n v="3042251944"/>
    <s v="Cotizacion Operacion"/>
    <x v="0"/>
    <m/>
    <m/>
    <s v="Acercamiento"/>
    <x v="0"/>
    <x v="0"/>
    <m/>
    <m/>
    <m/>
    <m/>
    <m/>
  </r>
  <r>
    <s v="Pagina Web"/>
    <d v="2026-03-09T00:00:00"/>
    <d v="1899-12-30T23:02:00"/>
    <d v="2026-03-10T00:00:00"/>
    <d v="1899-12-30T08:43:00"/>
    <x v="0"/>
    <m/>
    <x v="2"/>
    <s v="Afiliado"/>
    <m/>
    <s v="310 3702816"/>
    <s v="Flota"/>
    <x v="0"/>
    <m/>
    <m/>
    <s v="Acercamiento"/>
    <x v="0"/>
    <x v="0"/>
    <s v="Se redirecciona a Jose Sandoval"/>
    <m/>
    <m/>
    <m/>
    <m/>
  </r>
  <r>
    <s v="Pagina Web"/>
    <d v="2026-03-09T00:00:00"/>
    <d v="1899-12-30T19:19:00"/>
    <d v="2026-03-10T00:00:00"/>
    <d v="1899-12-30T08:31:00"/>
    <x v="0"/>
    <m/>
    <x v="2"/>
    <s v="Afiliado"/>
    <m/>
    <m/>
    <s v="Flota"/>
    <x v="0"/>
    <m/>
    <m/>
    <s v="Acercamiento"/>
    <x v="0"/>
    <x v="0"/>
    <s v="Se redirecciona a Jose Sandoval"/>
    <m/>
    <m/>
    <m/>
    <m/>
  </r>
  <r>
    <s v="Pagina Web"/>
    <d v="2026-03-09T00:00:00"/>
    <d v="1899-12-30T11:53:00"/>
    <d v="2026-03-09T00:00:00"/>
    <d v="1899-12-30T13:33:00"/>
    <x v="0"/>
    <m/>
    <x v="2"/>
    <s v="Afiliado"/>
    <m/>
    <s v="301 6825660"/>
    <s v="Flota"/>
    <x v="0"/>
    <m/>
    <m/>
    <s v="Acercamiento"/>
    <x v="0"/>
    <x v="0"/>
    <s v="Se redirecciona a Jose Sandoval"/>
    <m/>
    <m/>
    <m/>
    <m/>
  </r>
  <r>
    <s v="Pagina Web"/>
    <d v="2026-03-09T00:00:00"/>
    <d v="1899-12-30T15:40:00"/>
    <d v="2026-03-09T00:00:00"/>
    <d v="1899-12-30T15:42:00"/>
    <x v="0"/>
    <m/>
    <x v="2"/>
    <s v="Afiliado"/>
    <m/>
    <s v="318 4613212"/>
    <s v="Saldos"/>
    <x v="1"/>
    <m/>
    <m/>
    <s v="Acercamiento"/>
    <x v="0"/>
    <x v="0"/>
    <s v="Se redirecciona a Mileidys Tejada"/>
    <m/>
    <m/>
    <m/>
    <m/>
  </r>
  <r>
    <s v="Pagina Web"/>
    <d v="2026-03-09T00:00:00"/>
    <d v="1899-12-30T10:25:00"/>
    <d v="2026-03-09T00:00:00"/>
    <d v="1899-12-30T11:38:00"/>
    <x v="0"/>
    <m/>
    <x v="0"/>
    <s v="Potenciales"/>
    <m/>
    <n v="3205232233"/>
    <s v="Cotizacion Unica"/>
    <x v="2"/>
    <m/>
    <m/>
    <s v="Acercamiento"/>
    <x v="0"/>
    <x v="0"/>
    <m/>
    <m/>
    <m/>
    <m/>
    <m/>
  </r>
  <r>
    <s v="Pagina Web"/>
    <d v="2026-03-09T00:00:00"/>
    <d v="1899-12-30T09:37:00"/>
    <d v="2026-03-09T00:00:00"/>
    <d v="1899-12-30T11:32:00"/>
    <x v="0"/>
    <m/>
    <x v="0"/>
    <s v="Potenciales"/>
    <m/>
    <s v="757 2175522"/>
    <s v="Cotizacion Unica"/>
    <x v="2"/>
    <m/>
    <m/>
    <s v="Acercamiento"/>
    <x v="0"/>
    <x v="0"/>
    <m/>
    <m/>
    <m/>
    <m/>
    <m/>
  </r>
  <r>
    <s v="Pagina Web"/>
    <d v="2026-03-09T00:00:00"/>
    <d v="1899-12-30T15:45:00"/>
    <d v="2026-03-09T00:00:00"/>
    <d v="1899-12-30T15:53:00"/>
    <x v="0"/>
    <m/>
    <x v="0"/>
    <s v="Potenciales"/>
    <m/>
    <s v="318 2338143"/>
    <s v="Cotizacion Operacion"/>
    <x v="0"/>
    <m/>
    <m/>
    <s v="Acercamiento"/>
    <x v="0"/>
    <x v="0"/>
    <m/>
    <m/>
    <m/>
    <m/>
    <m/>
  </r>
  <r>
    <s v="Pagina Web"/>
    <d v="2026-03-09T00:00:00"/>
    <d v="1899-12-30T19:39:00"/>
    <d v="2026-03-10T00:00:00"/>
    <d v="1899-12-30T08:34:00"/>
    <x v="0"/>
    <m/>
    <x v="0"/>
    <s v="Potenciales"/>
    <m/>
    <s v="(904)9161099"/>
    <s v="Cotizacion Unica"/>
    <x v="0"/>
    <m/>
    <m/>
    <s v="Acercamiento"/>
    <x v="0"/>
    <x v="0"/>
    <m/>
    <m/>
    <m/>
    <m/>
    <m/>
  </r>
  <r>
    <s v="Pagina Web"/>
    <d v="2026-03-09T00:00:00"/>
    <d v="1899-12-30T16:49:00"/>
    <d v="2026-03-10T00:00:00"/>
    <d v="1899-12-30T08:24:00"/>
    <x v="0"/>
    <m/>
    <x v="0"/>
    <s v="Potenciales"/>
    <m/>
    <s v="302 5414060"/>
    <s v="Cotizacion Unica"/>
    <x v="0"/>
    <m/>
    <m/>
    <s v="Acercamiento"/>
    <x v="0"/>
    <x v="0"/>
    <m/>
    <m/>
    <m/>
    <m/>
    <m/>
  </r>
  <r>
    <s v="Pagina Web"/>
    <d v="2026-03-09T00:00:00"/>
    <d v="1899-12-30T07:56:00"/>
    <d v="2026-03-09T00:00:00"/>
    <d v="1899-12-30T10:26:00"/>
    <x v="0"/>
    <m/>
    <x v="0"/>
    <s v="Potenciales"/>
    <m/>
    <n v="3104697297"/>
    <s v="Proveedor"/>
    <x v="3"/>
    <m/>
    <m/>
    <s v="Acercamiento"/>
    <x v="0"/>
    <x v="0"/>
    <m/>
    <m/>
    <m/>
    <m/>
    <m/>
  </r>
  <r>
    <s v="Pagina Web"/>
    <d v="2026-03-09T00:00:00"/>
    <d v="1899-12-30T09:41:00"/>
    <d v="2026-03-09T00:00:00"/>
    <d v="1899-12-30T11:40:00"/>
    <x v="0"/>
    <m/>
    <x v="0"/>
    <s v="Potenciales"/>
    <m/>
    <n v="3108620753"/>
    <s v="Proveedor"/>
    <x v="3"/>
    <m/>
    <m/>
    <s v="Acercamiento"/>
    <x v="0"/>
    <x v="0"/>
    <m/>
    <m/>
    <m/>
    <m/>
    <m/>
  </r>
  <r>
    <s v="Pagina Web"/>
    <d v="2026-03-10T00:00:00"/>
    <d v="1899-12-30T06:51:00"/>
    <d v="2026-03-10T00:00:00"/>
    <d v="1899-12-30T08:36:00"/>
    <x v="0"/>
    <m/>
    <x v="2"/>
    <s v="Afiliado"/>
    <m/>
    <s v="301 5235920"/>
    <s v="Flota"/>
    <x v="0"/>
    <m/>
    <m/>
    <s v="Acercamiento"/>
    <x v="0"/>
    <x v="0"/>
    <s v="Se redirecciona a Jose Sandoval"/>
    <m/>
    <m/>
    <m/>
    <m/>
  </r>
  <r>
    <s v="Pagina Web"/>
    <d v="2026-03-10T00:00:00"/>
    <d v="1899-12-30T10:20:00"/>
    <d v="2026-03-10T00:00:00"/>
    <d v="1899-12-30T10:58:00"/>
    <x v="0"/>
    <m/>
    <x v="0"/>
    <s v="Potenciales"/>
    <m/>
    <s v="317 76427398"/>
    <s v="Cotizacion Unica"/>
    <x v="2"/>
    <m/>
    <m/>
    <s v="Acercamiento"/>
    <x v="0"/>
    <x v="0"/>
    <m/>
    <m/>
    <m/>
    <m/>
    <m/>
  </r>
  <r>
    <s v="Pagina Web"/>
    <d v="2026-03-10T00:00:00"/>
    <d v="1899-12-30T10:36:00"/>
    <d v="2026-03-10T00:00:00"/>
    <d v="1899-12-30T10:58:00"/>
    <x v="0"/>
    <m/>
    <x v="0"/>
    <s v="Potenciales"/>
    <m/>
    <s v="324 3469130"/>
    <s v="Cotizacion Unica"/>
    <x v="2"/>
    <m/>
    <m/>
    <s v="Acercamiento"/>
    <x v="0"/>
    <x v="0"/>
    <m/>
    <m/>
    <m/>
    <m/>
    <m/>
  </r>
  <r>
    <s v="Pagina Web"/>
    <d v="2026-03-10T00:00:00"/>
    <d v="1899-12-30T08:22:00"/>
    <d v="2026-03-10T00:00:00"/>
    <d v="1899-12-30T08:42:00"/>
    <x v="0"/>
    <m/>
    <x v="0"/>
    <s v="Potenciales"/>
    <m/>
    <m/>
    <s v="Cotizacion Unica"/>
    <x v="0"/>
    <m/>
    <m/>
    <s v="Acercamiento"/>
    <x v="0"/>
    <x v="0"/>
    <m/>
    <m/>
    <m/>
    <m/>
    <m/>
  </r>
  <r>
    <s v="Pagina Web"/>
    <d v="2026-03-10T00:00:00"/>
    <d v="1899-12-30T08:22:00"/>
    <d v="2026-03-10T00:00:00"/>
    <d v="1899-12-30T08:42:00"/>
    <x v="0"/>
    <m/>
    <x v="0"/>
    <s v="Potenciales"/>
    <m/>
    <s v="323 9621966"/>
    <s v="Proveedor"/>
    <x v="3"/>
    <m/>
    <m/>
    <s v="Acercamiento"/>
    <x v="0"/>
    <x v="0"/>
    <m/>
    <m/>
    <m/>
    <m/>
    <m/>
  </r>
  <r>
    <s v="Pagina Web"/>
    <d v="2026-03-11T00:00:00"/>
    <d v="1899-12-30T12:23:00"/>
    <d v="2026-03-19T00:00:00"/>
    <d v="1899-12-30T10:54:00"/>
    <x v="0"/>
    <m/>
    <x v="2"/>
    <s v="Afiliado"/>
    <m/>
    <s v="305 7713597"/>
    <s v="Saldos"/>
    <x v="1"/>
    <m/>
    <m/>
    <s v="Acercamiento"/>
    <x v="0"/>
    <x v="0"/>
    <s v="Se redirecciona a Mileidys Tejada"/>
    <m/>
    <m/>
    <m/>
    <m/>
  </r>
  <r>
    <s v="META"/>
    <d v="2026-03-11T00:00:00"/>
    <d v="1899-12-30T07:34:00"/>
    <d v="2026-03-19T00:00:00"/>
    <d v="1899-12-30T10:49:00"/>
    <x v="0"/>
    <m/>
    <x v="13"/>
    <s v="Potenciales"/>
    <s v="Engranaje Group"/>
    <m/>
    <s v="Proveedor"/>
    <x v="3"/>
    <m/>
    <m/>
    <s v="Acercamiento"/>
    <x v="0"/>
    <x v="0"/>
    <m/>
    <m/>
    <m/>
    <m/>
    <m/>
  </r>
  <r>
    <s v="Pagina Web"/>
    <d v="2026-03-11T00:00:00"/>
    <d v="1899-12-30T16:56:00"/>
    <d v="2026-03-16T00:00:00"/>
    <d v="1899-12-30T18:19:00"/>
    <x v="0"/>
    <m/>
    <x v="14"/>
    <s v="Potenciales"/>
    <s v="intertrabns CO "/>
    <m/>
    <s v="Proveedor"/>
    <x v="3"/>
    <m/>
    <m/>
    <s v="Acercamiento"/>
    <x v="0"/>
    <x v="0"/>
    <m/>
    <m/>
    <m/>
    <m/>
    <m/>
  </r>
  <r>
    <s v="Pagina Web"/>
    <d v="2026-03-11T00:00:00"/>
    <d v="1899-12-30T10:47:00"/>
    <d v="2026-03-13T00:00:00"/>
    <d v="1899-12-30T11:46:00"/>
    <x v="0"/>
    <m/>
    <x v="0"/>
    <s v="Potenciales"/>
    <m/>
    <s v="322 3262426"/>
    <s v="Cotizacion Operacion"/>
    <x v="0"/>
    <m/>
    <m/>
    <s v="Acercamiento"/>
    <x v="0"/>
    <x v="0"/>
    <m/>
    <m/>
    <m/>
    <m/>
    <m/>
  </r>
  <r>
    <s v="Pagina Web"/>
    <d v="2026-03-13T00:00:00"/>
    <d v="1899-12-30T06:32:00"/>
    <d v="2026-03-13T00:00:00"/>
    <d v="1899-12-30T06:32:00"/>
    <x v="0"/>
    <m/>
    <x v="0"/>
    <s v="Potenciales"/>
    <m/>
    <s v="55 11 94537-9257"/>
    <s v="Proveedor"/>
    <x v="3"/>
    <m/>
    <m/>
    <s v="Acercamiento"/>
    <x v="0"/>
    <x v="0"/>
    <m/>
    <m/>
    <m/>
    <m/>
    <m/>
  </r>
  <r>
    <s v="Pagina Web"/>
    <d v="2026-03-13T00:00:00"/>
    <d v="1899-12-30T16:07:00"/>
    <d v="2026-03-19T00:00:00"/>
    <d v="1899-12-30T10:55:00"/>
    <x v="0"/>
    <m/>
    <x v="0"/>
    <s v="Potenciales"/>
    <m/>
    <s v="311 8195407"/>
    <s v="Proveedor"/>
    <x v="3"/>
    <m/>
    <m/>
    <s v="Acercamiento"/>
    <x v="0"/>
    <x v="0"/>
    <m/>
    <m/>
    <m/>
    <m/>
    <m/>
  </r>
  <r>
    <s v="Pagina Web"/>
    <d v="2026-03-14T00:00:00"/>
    <d v="1899-12-30T09:33:00"/>
    <d v="2026-03-14T00:00:00"/>
    <d v="1899-12-30T09:33:00"/>
    <x v="0"/>
    <m/>
    <x v="0"/>
    <s v="Potenciales"/>
    <m/>
    <s v="302 2685669"/>
    <s v="Proveedor"/>
    <x v="3"/>
    <m/>
    <m/>
    <s v="Acercamiento"/>
    <x v="0"/>
    <x v="0"/>
    <m/>
    <m/>
    <m/>
    <m/>
    <m/>
  </r>
  <r>
    <s v="Pagina Web"/>
    <d v="2026-03-15T00:00:00"/>
    <d v="1899-12-30T12:16:00"/>
    <d v="2026-03-16T00:00:00"/>
    <d v="1899-12-30T12:01:00"/>
    <x v="0"/>
    <m/>
    <x v="0"/>
    <s v="Potenciales"/>
    <m/>
    <s v="333 2572722"/>
    <s v="Cotizacion Unica"/>
    <x v="2"/>
    <m/>
    <m/>
    <s v="Acercamiento"/>
    <x v="0"/>
    <x v="0"/>
    <m/>
    <m/>
    <m/>
    <m/>
    <m/>
  </r>
  <r>
    <s v="Pagina Web"/>
    <d v="2026-03-16T00:00:00"/>
    <d v="1899-12-30T15:28:00"/>
    <d v="2026-03-18T00:00:00"/>
    <d v="1899-12-30T11:41:00"/>
    <x v="0"/>
    <m/>
    <x v="2"/>
    <s v="Afiliado"/>
    <m/>
    <s v="321 3120637"/>
    <s v="Flota"/>
    <x v="0"/>
    <m/>
    <m/>
    <s v="Acercamiento"/>
    <x v="0"/>
    <x v="0"/>
    <s v="Se redirecciona a Jose Sandoval"/>
    <m/>
    <m/>
    <m/>
    <m/>
  </r>
  <r>
    <s v="Pagina Web"/>
    <d v="2026-03-16T00:00:00"/>
    <d v="1899-12-30T12:00:00"/>
    <d v="2026-03-16T00:00:00"/>
    <d v="1899-12-30T12:02:00"/>
    <x v="0"/>
    <m/>
    <x v="2"/>
    <s v="Afiliado"/>
    <m/>
    <s v="316 2351908"/>
    <s v="Flota"/>
    <x v="0"/>
    <m/>
    <m/>
    <s v="Acercamiento"/>
    <x v="0"/>
    <x v="0"/>
    <s v="Se redirecciona a Jose Sandoval"/>
    <m/>
    <m/>
    <m/>
    <m/>
  </r>
  <r>
    <s v="Pagina Web"/>
    <d v="2026-03-16T00:00:00"/>
    <d v="1899-12-30T13:29:00"/>
    <d v="2026-03-19T00:00:00"/>
    <d v="1899-12-30T11:45:00"/>
    <x v="0"/>
    <m/>
    <x v="2"/>
    <s v="Afiliado"/>
    <m/>
    <s v="314 3966394"/>
    <s v="Saldos"/>
    <x v="1"/>
    <m/>
    <m/>
    <s v="Acercamiento"/>
    <x v="0"/>
    <x v="0"/>
    <s v="Se redirecciona a Mileidys Tejada"/>
    <m/>
    <m/>
    <m/>
    <m/>
  </r>
  <r>
    <s v="Pagina Web"/>
    <d v="2026-03-16T00:00:00"/>
    <d v="1899-12-30T12:05:00"/>
    <d v="2026-03-16T00:00:00"/>
    <d v="1899-12-30T12:05:00"/>
    <x v="0"/>
    <m/>
    <x v="0"/>
    <s v="Potenciales"/>
    <m/>
    <s v="312 2231019"/>
    <s v="Cotizacion Unica"/>
    <x v="2"/>
    <m/>
    <m/>
    <s v="Acercamiento"/>
    <x v="0"/>
    <x v="0"/>
    <m/>
    <m/>
    <m/>
    <m/>
    <m/>
  </r>
  <r>
    <s v="Pagina Web"/>
    <d v="2026-03-16T00:00:00"/>
    <d v="1899-12-30T12:05:00"/>
    <d v="2026-03-16T00:00:00"/>
    <d v="1899-12-30T12:05:00"/>
    <x v="0"/>
    <m/>
    <x v="0"/>
    <s v="Potenciales"/>
    <m/>
    <s v="321 8781629"/>
    <s v="Cotizacion Unica"/>
    <x v="0"/>
    <m/>
    <m/>
    <s v="Acercamiento"/>
    <x v="0"/>
    <x v="0"/>
    <m/>
    <m/>
    <m/>
    <m/>
    <m/>
  </r>
  <r>
    <s v="Pagina Web"/>
    <d v="2026-03-16T00:00:00"/>
    <d v="1899-12-30T09:15:00"/>
    <d v="2026-03-18T00:00:00"/>
    <d v="1899-12-30T11:44:00"/>
    <x v="0"/>
    <m/>
    <x v="0"/>
    <s v="Potenciales"/>
    <m/>
    <s v="318 3385812"/>
    <s v="Cotizacion Unica"/>
    <x v="0"/>
    <m/>
    <m/>
    <s v="Acercamiento"/>
    <x v="0"/>
    <x v="0"/>
    <m/>
    <m/>
    <m/>
    <m/>
    <m/>
  </r>
  <r>
    <s v="Pagina Web"/>
    <d v="2026-03-16T00:00:00"/>
    <d v="1899-12-30T14:09:00"/>
    <d v="2026-03-16T00:00:00"/>
    <d v="1899-12-30T14:09:00"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3-16T00:00:00"/>
    <d v="1899-12-30T16:44:00"/>
    <d v="2026-03-16T00:00:00"/>
    <d v="1899-12-30T16:44:00"/>
    <x v="0"/>
    <m/>
    <x v="0"/>
    <s v="Potenciales"/>
    <m/>
    <s v="311 2507980"/>
    <s v="Proveedor"/>
    <x v="3"/>
    <m/>
    <m/>
    <s v="Acercamiento"/>
    <x v="0"/>
    <x v="0"/>
    <m/>
    <m/>
    <m/>
    <m/>
    <m/>
  </r>
  <r>
    <s v="Pagina Web"/>
    <d v="2026-03-16T00:00:00"/>
    <d v="1899-12-30T16:39:00"/>
    <d v="2026-03-18T00:00:00"/>
    <d v="1899-12-30T15:48:00"/>
    <x v="0"/>
    <m/>
    <x v="0"/>
    <s v="Potenciales"/>
    <m/>
    <s v="310 4764617"/>
    <s v="Proveedor"/>
    <x v="3"/>
    <m/>
    <m/>
    <s v="Acercamiento"/>
    <x v="0"/>
    <x v="0"/>
    <m/>
    <m/>
    <m/>
    <m/>
    <m/>
  </r>
  <r>
    <s v="Pagina Web"/>
    <d v="2026-03-17T00:00:00"/>
    <d v="1899-12-30T09:46:00"/>
    <d v="2026-03-18T00:00:00"/>
    <d v="1899-12-30T11:40:00"/>
    <x v="0"/>
    <m/>
    <x v="2"/>
    <s v="Afiliado"/>
    <m/>
    <s v="316 5332281"/>
    <s v="Flota"/>
    <x v="0"/>
    <m/>
    <m/>
    <s v="Acercamiento"/>
    <x v="0"/>
    <x v="0"/>
    <s v="Se redirecciona a Jose Sandoval"/>
    <m/>
    <m/>
    <m/>
    <m/>
  </r>
  <r>
    <s v="Pagina Web"/>
    <d v="2026-03-17T00:00:00"/>
    <d v="1899-12-30T10:37:00"/>
    <d v="2026-03-25T00:00:00"/>
    <d v="1899-12-30T15:46:00"/>
    <x v="0"/>
    <m/>
    <x v="2"/>
    <s v="Afiliado"/>
    <m/>
    <m/>
    <s v="Saldos"/>
    <x v="1"/>
    <m/>
    <m/>
    <s v="Acercamiento"/>
    <x v="0"/>
    <x v="0"/>
    <s v="Se redirecciona a Mileidys Tejada"/>
    <m/>
    <m/>
    <m/>
    <m/>
  </r>
  <r>
    <s v="Pagina Web"/>
    <d v="2026-03-17T00:00:00"/>
    <d v="1899-12-30T16:42:00"/>
    <d v="2026-03-18T00:00:00"/>
    <d v="1899-12-30T11:31:00"/>
    <x v="0"/>
    <m/>
    <x v="0"/>
    <s v="Potenciales"/>
    <m/>
    <s v="320 3929019"/>
    <s v="Cotizacion Unica"/>
    <x v="2"/>
    <m/>
    <m/>
    <s v="Acercamiento"/>
    <x v="0"/>
    <x v="0"/>
    <m/>
    <m/>
    <m/>
    <m/>
    <m/>
  </r>
  <r>
    <s v="Pagina Web"/>
    <d v="2026-03-17T00:00:00"/>
    <d v="1899-12-30T08:45:00"/>
    <d v="2026-03-18T00:00:00"/>
    <d v="1899-12-30T14:06:00"/>
    <x v="0"/>
    <m/>
    <x v="0"/>
    <s v="Potenciales"/>
    <m/>
    <s v="300 6176239"/>
    <s v="Proveedor"/>
    <x v="3"/>
    <m/>
    <m/>
    <s v="Acercamiento"/>
    <x v="0"/>
    <x v="0"/>
    <m/>
    <m/>
    <m/>
    <m/>
    <m/>
  </r>
  <r>
    <s v="Pagina Web"/>
    <d v="2026-03-18T00:00:00"/>
    <d v="1899-12-30T12:52:00"/>
    <d v="2026-03-19T00:00:00"/>
    <d v="1899-12-30T10:29:00"/>
    <x v="0"/>
    <m/>
    <x v="2"/>
    <s v="Afiliado"/>
    <m/>
    <s v="310 4620784 "/>
    <s v="Flota"/>
    <x v="0"/>
    <m/>
    <m/>
    <s v="Acercamiento"/>
    <x v="0"/>
    <x v="0"/>
    <s v="Se redirecciona a Jose Sandoval"/>
    <m/>
    <m/>
    <m/>
    <m/>
  </r>
  <r>
    <s v="Pagina Web"/>
    <d v="2026-03-18T00:00:00"/>
    <d v="1899-12-30T11:40:00"/>
    <d v="2026-03-25T00:00:00"/>
    <d v="1899-12-30T15:43:00"/>
    <x v="0"/>
    <m/>
    <x v="15"/>
    <s v="Potenciales"/>
    <s v="Impo China"/>
    <m/>
    <s v="Cotizacion Unica"/>
    <x v="5"/>
    <m/>
    <m/>
    <s v="Acercamiento"/>
    <x v="0"/>
    <x v="0"/>
    <m/>
    <m/>
    <m/>
    <m/>
    <m/>
  </r>
  <r>
    <s v="META"/>
    <d v="2026-03-18T00:00:00"/>
    <d v="1899-12-30T09:46:00"/>
    <d v="2026-03-18T00:00:00"/>
    <d v="1899-12-30T11:26:00"/>
    <x v="0"/>
    <m/>
    <x v="16"/>
    <s v="Potenciales"/>
    <s v="Setas de la Costa"/>
    <m/>
    <s v="Cotizacion Operacion"/>
    <x v="6"/>
    <m/>
    <m/>
    <s v="Acercamiento"/>
    <x v="0"/>
    <x v="0"/>
    <m/>
    <m/>
    <m/>
    <m/>
    <m/>
  </r>
  <r>
    <s v="Pagina Web"/>
    <d v="2026-03-18T00:00:00"/>
    <d v="1899-12-30T09:42:00"/>
    <d v="2026-03-18T00:00:00"/>
    <d v="1899-12-30T11:31:00"/>
    <x v="0"/>
    <m/>
    <x v="0"/>
    <s v="Potenciales"/>
    <m/>
    <s v="320 6257274"/>
    <s v="Cotizacion Unica"/>
    <x v="2"/>
    <m/>
    <m/>
    <s v="Acercamiento"/>
    <x v="0"/>
    <x v="0"/>
    <m/>
    <m/>
    <m/>
    <m/>
    <m/>
  </r>
  <r>
    <s v="Pagina Web"/>
    <d v="2026-03-18T00:00:00"/>
    <d v="1899-12-30T13:27:00"/>
    <d v="2026-03-18T00:00:00"/>
    <d v="1899-12-30T13:27:00"/>
    <x v="0"/>
    <m/>
    <x v="0"/>
    <s v="Potenciales"/>
    <m/>
    <s v="300 8568254"/>
    <s v="Cotizacion Unica"/>
    <x v="2"/>
    <m/>
    <m/>
    <s v="Acercamiento"/>
    <x v="0"/>
    <x v="0"/>
    <m/>
    <m/>
    <m/>
    <m/>
    <m/>
  </r>
  <r>
    <s v="Pagina Web"/>
    <d v="2026-03-18T00:00:00"/>
    <d v="1899-12-30T16:39:00"/>
    <d v="2026-03-25T00:00:00"/>
    <d v="1899-12-30T15:48:00"/>
    <x v="0"/>
    <m/>
    <x v="0"/>
    <s v="Potenciales"/>
    <m/>
    <s v="310 4764617"/>
    <s v="Cotizacion Unica"/>
    <x v="0"/>
    <m/>
    <m/>
    <s v="Acercamiento"/>
    <x v="0"/>
    <x v="0"/>
    <m/>
    <m/>
    <m/>
    <m/>
    <m/>
  </r>
  <r>
    <s v="Pagina Web"/>
    <d v="2026-03-18T00:00:00"/>
    <d v="1899-12-30T08:19:00"/>
    <d v="2026-03-18T00:00:00"/>
    <d v="1899-12-30T10:35:00"/>
    <x v="0"/>
    <m/>
    <x v="0"/>
    <s v="Potenciales"/>
    <m/>
    <s v="313 8056194"/>
    <s v="Proveedor"/>
    <x v="3"/>
    <m/>
    <m/>
    <s v="Acercamiento"/>
    <x v="0"/>
    <x v="0"/>
    <m/>
    <m/>
    <m/>
    <m/>
    <m/>
  </r>
  <r>
    <s v="Pagina Web"/>
    <d v="2026-03-19T00:00:00"/>
    <d v="1899-12-30T07:49:00"/>
    <d v="2026-03-25T00:00:00"/>
    <d v="1899-12-30T15:31:00"/>
    <x v="0"/>
    <m/>
    <x v="2"/>
    <s v="Afiliado"/>
    <m/>
    <s v="310 4706215"/>
    <s v="Flota"/>
    <x v="0"/>
    <m/>
    <m/>
    <s v="Acercamiento"/>
    <x v="0"/>
    <x v="0"/>
    <s v="Se redirecciona a Jose Sandoval"/>
    <m/>
    <m/>
    <m/>
    <m/>
  </r>
  <r>
    <s v="Pagina Web"/>
    <d v="2026-03-19T00:00:00"/>
    <d v="1899-12-30T11:07:00"/>
    <d v="2026-03-19T00:00:00"/>
    <d v="1899-12-30T11:07:00"/>
    <x v="0"/>
    <m/>
    <x v="2"/>
    <s v="Afiliado"/>
    <m/>
    <s v="301 1487731"/>
    <s v="Saldos"/>
    <x v="1"/>
    <m/>
    <m/>
    <s v="Acercamiento"/>
    <x v="0"/>
    <x v="0"/>
    <s v="Se redirecciona a Mileidys Tejada"/>
    <m/>
    <m/>
    <m/>
    <m/>
  </r>
  <r>
    <s v="Pagina Web"/>
    <d v="2026-03-19T00:00:00"/>
    <d v="1899-12-30T11:39:00"/>
    <d v="2026-03-19T00:00:00"/>
    <d v="1899-12-30T11:43:00"/>
    <x v="0"/>
    <m/>
    <x v="0"/>
    <s v="Potenciales"/>
    <m/>
    <s v="318 5145561"/>
    <s v="Cotizacion Unica"/>
    <x v="2"/>
    <m/>
    <m/>
    <s v="Acercamiento"/>
    <x v="0"/>
    <x v="0"/>
    <m/>
    <m/>
    <m/>
    <m/>
    <m/>
  </r>
  <r>
    <s v="Pagina Web"/>
    <d v="2026-03-19T00:00:00"/>
    <d v="1899-12-30T14:50:00"/>
    <d v="2026-03-24T00:00:00"/>
    <d v="1899-12-30T15:43:00"/>
    <x v="0"/>
    <m/>
    <x v="0"/>
    <s v="Potenciales"/>
    <m/>
    <s v="304 3871182"/>
    <s v="Cotizacion Unica"/>
    <x v="0"/>
    <m/>
    <m/>
    <s v="Acercamiento"/>
    <x v="0"/>
    <x v="0"/>
    <m/>
    <m/>
    <m/>
    <m/>
    <m/>
  </r>
  <r>
    <s v="Pagina Web"/>
    <d v="2026-03-20T00:00:00"/>
    <d v="1899-12-30T16:09:00"/>
    <d v="2026-03-20T00:00:00"/>
    <d v="1899-12-30T16:19:00"/>
    <x v="0"/>
    <m/>
    <x v="2"/>
    <s v="Afiliado"/>
    <m/>
    <s v="310 3545601"/>
    <s v="Flota"/>
    <x v="0"/>
    <m/>
    <m/>
    <s v="Acercamiento"/>
    <x v="0"/>
    <x v="0"/>
    <s v="Se redirecciona a Jose Sandoval"/>
    <m/>
    <m/>
    <m/>
    <m/>
  </r>
  <r>
    <s v="Pagina Web"/>
    <d v="2026-03-20T00:00:00"/>
    <d v="1899-12-30T17:41:00"/>
    <d v="2026-03-24T00:00:00"/>
    <d v="1899-12-30T15:09:00"/>
    <x v="0"/>
    <m/>
    <x v="2"/>
    <s v="Afiliado"/>
    <m/>
    <s v="319 6889994"/>
    <s v="Flota"/>
    <x v="0"/>
    <m/>
    <m/>
    <s v="Acercamiento"/>
    <x v="0"/>
    <x v="0"/>
    <s v="Se redirecciona a Jose Sandoval"/>
    <m/>
    <m/>
    <m/>
    <m/>
  </r>
  <r>
    <s v="Pagina Web"/>
    <d v="2026-03-20T00:00:00"/>
    <d v="1899-12-30T15:00:00"/>
    <d v="2026-03-20T00:00:00"/>
    <d v="1899-12-30T15:00:00"/>
    <x v="0"/>
    <m/>
    <x v="0"/>
    <s v="Vacante"/>
    <m/>
    <s v="313 8431189"/>
    <s v="RRHH"/>
    <x v="4"/>
    <m/>
    <m/>
    <s v="Acercamiento"/>
    <x v="0"/>
    <x v="0"/>
    <s v="Se redirecciona a Alix de la Rosa"/>
    <m/>
    <m/>
    <m/>
    <m/>
  </r>
  <r>
    <s v="Pagina Web"/>
    <d v="2026-03-20T00:00:00"/>
    <d v="1899-12-30T13:24:00"/>
    <d v="2026-03-20T00:00:00"/>
    <d v="1899-12-30T13:24:00"/>
    <x v="0"/>
    <m/>
    <x v="0"/>
    <s v="Potenciales"/>
    <m/>
    <s v="318 8322186"/>
    <s v="Cotizacion Operacion"/>
    <x v="6"/>
    <m/>
    <m/>
    <s v="Acercamiento"/>
    <x v="0"/>
    <x v="0"/>
    <m/>
    <m/>
    <m/>
    <m/>
    <m/>
  </r>
  <r>
    <s v="Pagina Web"/>
    <d v="2026-03-20T00:00:00"/>
    <d v="1899-12-30T17:43:00"/>
    <d v="2026-03-24T00:00:00"/>
    <d v="1899-12-30T15:11:00"/>
    <x v="0"/>
    <m/>
    <x v="0"/>
    <s v="Potenciales"/>
    <m/>
    <s v="310 3731338"/>
    <s v="Cotizacion Unica"/>
    <x v="5"/>
    <m/>
    <m/>
    <s v="Acercamiento"/>
    <x v="0"/>
    <x v="0"/>
    <m/>
    <m/>
    <m/>
    <m/>
    <m/>
  </r>
  <r>
    <s v="Pagina Web"/>
    <d v="2026-03-20T00:00:00"/>
    <d v="1899-12-30T14:30:00"/>
    <d v="2026-03-20T00:00:00"/>
    <d v="1899-12-30T14:30:00"/>
    <x v="0"/>
    <m/>
    <x v="0"/>
    <s v="Potenciales"/>
    <m/>
    <s v="313 5785040"/>
    <s v="Proveedor"/>
    <x v="3"/>
    <m/>
    <m/>
    <s v="Acercamiento"/>
    <x v="0"/>
    <x v="0"/>
    <m/>
    <m/>
    <m/>
    <m/>
    <m/>
  </r>
  <r>
    <s v="Pagina Web"/>
    <d v="2026-03-21T00:00:00"/>
    <d v="1899-12-30T10:28:00"/>
    <d v="2026-03-24T00:00:00"/>
    <d v="1899-12-30T15:08:00"/>
    <x v="0"/>
    <m/>
    <x v="2"/>
    <s v="Afiliado"/>
    <m/>
    <s v="322 4816053"/>
    <s v="Saldos"/>
    <x v="1"/>
    <m/>
    <m/>
    <s v="Acercamiento"/>
    <x v="0"/>
    <x v="0"/>
    <s v="Se redirecciona a Mileidys Tejada"/>
    <m/>
    <m/>
    <m/>
    <m/>
  </r>
  <r>
    <s v="Pagina Web"/>
    <d v="2026-03-21T00:00:00"/>
    <d v="1899-12-30T11:17:00"/>
    <d v="2026-03-24T00:00:00"/>
    <d v="1899-12-30T15:07:00"/>
    <x v="0"/>
    <m/>
    <x v="0"/>
    <s v="Potenciales"/>
    <m/>
    <s v="310 6101929"/>
    <s v="Cotizacion Unica"/>
    <x v="2"/>
    <m/>
    <m/>
    <s v="Acercamiento"/>
    <x v="0"/>
    <x v="0"/>
    <m/>
    <m/>
    <m/>
    <m/>
    <m/>
  </r>
  <r>
    <s v="Pagina Web"/>
    <d v="2026-03-21T00:00:00"/>
    <d v="1899-12-30T08:10:00"/>
    <d v="2026-03-21T00:00:00"/>
    <d v="1899-12-30T08:10:00"/>
    <x v="0"/>
    <m/>
    <x v="0"/>
    <s v="Potenciales"/>
    <m/>
    <s v="310 2041457"/>
    <s v="Proveedor"/>
    <x v="3"/>
    <m/>
    <m/>
    <s v="Acercamiento"/>
    <x v="0"/>
    <x v="0"/>
    <m/>
    <m/>
    <m/>
    <m/>
    <m/>
  </r>
  <r>
    <s v="Pagina Web"/>
    <d v="2026-03-21T00:00:00"/>
    <d v="1899-12-30T12:45:00"/>
    <d v="2026-03-21T00:00:00"/>
    <d v="1899-12-30T12:45:00"/>
    <x v="0"/>
    <m/>
    <x v="0"/>
    <s v="Potenciales"/>
    <m/>
    <s v="316 8602241"/>
    <s v="Proveedor"/>
    <x v="3"/>
    <m/>
    <m/>
    <s v="Acercamiento"/>
    <x v="0"/>
    <x v="0"/>
    <m/>
    <m/>
    <m/>
    <m/>
    <m/>
  </r>
  <r>
    <s v="Pagina Web"/>
    <d v="2026-03-22T00:00:00"/>
    <d v="1899-12-30T10:14:00"/>
    <d v="2026-03-24T00:00:00"/>
    <d v="1899-12-30T15:06:00"/>
    <x v="0"/>
    <m/>
    <x v="0"/>
    <s v="Vacante"/>
    <m/>
    <s v="320 4492637"/>
    <s v="RRHH"/>
    <x v="4"/>
    <m/>
    <m/>
    <s v="Acercamiento"/>
    <x v="0"/>
    <x v="0"/>
    <s v="Se redirecciona a Alix de la Rosa"/>
    <m/>
    <m/>
    <m/>
    <m/>
  </r>
  <r>
    <s v="META"/>
    <d v="2026-03-23T00:00:00"/>
    <d v="1899-12-30T13:02:00"/>
    <d v="2026-03-24T00:00:00"/>
    <d v="1899-12-30T15:06:00"/>
    <x v="1"/>
    <d v="2026-03-26T00:00:00"/>
    <x v="17"/>
    <s v="Potenciales"/>
    <s v="Teclogi"/>
    <m/>
    <s v="Cotizacion Unica"/>
    <x v="7"/>
    <m/>
    <m/>
    <s v="Acercamiento"/>
    <x v="0"/>
    <x v="0"/>
    <m/>
    <m/>
    <m/>
    <m/>
    <m/>
  </r>
  <r>
    <s v="Pagina Web"/>
    <d v="2026-03-23T00:00:00"/>
    <d v="1899-12-30T13:14:00"/>
    <d v="2026-03-24T00:00:00"/>
    <d v="1899-12-30T15:03:00"/>
    <x v="0"/>
    <m/>
    <x v="0"/>
    <s v="Potenciales"/>
    <m/>
    <s v="313 5352083"/>
    <s v="Cotizacion Unica"/>
    <x v="2"/>
    <m/>
    <m/>
    <s v="Acercamiento"/>
    <x v="0"/>
    <x v="0"/>
    <m/>
    <m/>
    <m/>
    <m/>
    <m/>
  </r>
  <r>
    <s v="Pagina Web"/>
    <d v="2026-03-23T00:00:00"/>
    <d v="1899-12-30T16:56:00"/>
    <d v="2026-03-24T00:00:00"/>
    <d v="1899-12-30T15:02:00"/>
    <x v="0"/>
    <m/>
    <x v="0"/>
    <s v="Potenciales"/>
    <m/>
    <s v="301 7685484"/>
    <s v="Proveedor"/>
    <x v="3"/>
    <m/>
    <m/>
    <s v="Acercamiento"/>
    <x v="0"/>
    <x v="0"/>
    <m/>
    <m/>
    <m/>
    <m/>
    <m/>
  </r>
  <r>
    <s v="Pagina Web"/>
    <d v="2026-03-23T00:00:00"/>
    <d v="1899-12-30T16:56:00"/>
    <d v="2026-03-24T00:00:00"/>
    <d v="1899-12-30T15:02:00"/>
    <x v="0"/>
    <m/>
    <x v="0"/>
    <s v="Potenciales"/>
    <m/>
    <m/>
    <s v="Proveedor"/>
    <x v="3"/>
    <m/>
    <m/>
    <s v="Acercamiento"/>
    <x v="0"/>
    <x v="0"/>
    <m/>
    <m/>
    <m/>
    <m/>
    <m/>
  </r>
  <r>
    <s v="Pagina Web"/>
    <d v="2026-03-24T00:00:00"/>
    <d v="1899-12-30T13:26:00"/>
    <d v="2026-03-24T00:00:00"/>
    <d v="1899-12-30T14:52:00"/>
    <x v="0"/>
    <m/>
    <x v="18"/>
    <s v="Potenciales"/>
    <s v="Ladrillera Melendez"/>
    <m/>
    <s v="Proveedor"/>
    <x v="3"/>
    <m/>
    <m/>
    <s v="Acercamiento"/>
    <x v="0"/>
    <x v="0"/>
    <m/>
    <m/>
    <m/>
    <m/>
    <m/>
  </r>
  <r>
    <s v="Pagina Web"/>
    <d v="2026-03-24T00:00:00"/>
    <d v="1899-12-30T13:22:00"/>
    <d v="2026-03-24T00:00:00"/>
    <d v="1899-12-30T14:53:00"/>
    <x v="0"/>
    <m/>
    <x v="19"/>
    <s v="Potenciales"/>
    <s v="Ventas Carbono"/>
    <m/>
    <s v="Proveedor"/>
    <x v="3"/>
    <m/>
    <m/>
    <s v="Acercamiento"/>
    <x v="0"/>
    <x v="0"/>
    <m/>
    <m/>
    <m/>
    <m/>
    <m/>
  </r>
  <r>
    <s v="Pagina Web"/>
    <d v="2026-03-24T00:00:00"/>
    <d v="1899-12-30T14:05:00"/>
    <d v="2026-03-24T00:00:00"/>
    <d v="1899-12-30T14:52:00"/>
    <x v="0"/>
    <m/>
    <x v="0"/>
    <s v="Potenciales"/>
    <m/>
    <s v="310 8003244"/>
    <s v="Cotizacion Unica"/>
    <x v="2"/>
    <m/>
    <m/>
    <s v="Acercamiento"/>
    <x v="0"/>
    <x v="0"/>
    <m/>
    <m/>
    <m/>
    <m/>
    <m/>
  </r>
  <r>
    <s v="Pagina Web"/>
    <d v="2026-03-24T00:00:00"/>
    <d v="1899-12-30T13:05:00"/>
    <d v="2026-03-24T00:00:00"/>
    <d v="1899-12-30T14:56:00"/>
    <x v="0"/>
    <m/>
    <x v="0"/>
    <s v="Potenciales"/>
    <m/>
    <s v="317 6171900"/>
    <s v="Cotizacion Unica"/>
    <x v="2"/>
    <m/>
    <m/>
    <s v="Acercamiento"/>
    <x v="0"/>
    <x v="0"/>
    <m/>
    <m/>
    <m/>
    <m/>
    <m/>
  </r>
  <r>
    <s v="Pagina Web"/>
    <d v="2026-03-24T00:00:00"/>
    <d v="1899-12-30T13:05:00"/>
    <d v="2026-03-24T00:00:00"/>
    <d v="1899-12-30T14:56:00"/>
    <x v="0"/>
    <m/>
    <x v="0"/>
    <s v="Potenciales"/>
    <m/>
    <s v="317 6171900"/>
    <s v="Cotizacion Unica"/>
    <x v="2"/>
    <m/>
    <m/>
    <s v="Acercamiento"/>
    <x v="0"/>
    <x v="0"/>
    <m/>
    <m/>
    <m/>
    <m/>
    <m/>
  </r>
  <r>
    <s v="Pagina Web"/>
    <d v="2026-03-24T00:00:00"/>
    <d v="1899-12-30T07:20:00"/>
    <d v="2026-03-24T00:00:00"/>
    <d v="1899-12-30T14:58:00"/>
    <x v="0"/>
    <m/>
    <x v="0"/>
    <s v="Vacante"/>
    <m/>
    <s v=" 313 7103448"/>
    <s v="RRHH"/>
    <x v="4"/>
    <m/>
    <m/>
    <s v="Acercamiento"/>
    <x v="0"/>
    <x v="0"/>
    <s v="Se redirecciona a Alix de la Rosa"/>
    <m/>
    <m/>
    <m/>
    <m/>
  </r>
  <r>
    <s v="Pagina Web"/>
    <d v="2026-03-24T00:00:00"/>
    <d v="1899-12-30T07:20:00"/>
    <d v="2026-03-24T00:00:00"/>
    <d v="1899-12-30T14:58:00"/>
    <x v="0"/>
    <m/>
    <x v="0"/>
    <s v="Vacante"/>
    <m/>
    <s v="313 7103448"/>
    <s v="RRHH"/>
    <x v="4"/>
    <m/>
    <m/>
    <s v="Acercamiento"/>
    <x v="0"/>
    <x v="0"/>
    <s v="Se redirecciona a Alix de la Rosa"/>
    <m/>
    <m/>
    <m/>
    <m/>
  </r>
  <r>
    <s v="Pagina Web"/>
    <d v="2026-03-24T00:00:00"/>
    <d v="1899-12-30T15:00:00"/>
    <d v="2026-03-24T00:00:00"/>
    <d v="1899-12-30T15:00:00"/>
    <x v="0"/>
    <m/>
    <x v="0"/>
    <s v="Potenciales"/>
    <m/>
    <s v="312 2243410"/>
    <s v="Proveedor"/>
    <x v="3"/>
    <m/>
    <m/>
    <s v="Acercamiento"/>
    <x v="0"/>
    <x v="0"/>
    <m/>
    <m/>
    <m/>
    <m/>
    <m/>
  </r>
  <r>
    <s v="Pagina Web"/>
    <d v="2026-03-25T00:00:00"/>
    <d v="1899-12-30T09:07:00"/>
    <d v="2026-03-25T00:00:00"/>
    <d v="1899-12-30T09:07:00"/>
    <x v="0"/>
    <m/>
    <x v="0"/>
    <s v="Potenciales"/>
    <m/>
    <s v=" 320 5417263"/>
    <s v="Cotizacion Unica"/>
    <x v="0"/>
    <m/>
    <m/>
    <s v="Acercamiento"/>
    <x v="0"/>
    <x v="0"/>
    <m/>
    <m/>
    <m/>
    <m/>
    <m/>
  </r>
  <r>
    <s v="Pagina Web"/>
    <d v="2026-03-26T00:00:00"/>
    <d v="1899-12-30T15:10:00"/>
    <d v="2026-03-26T00:00:00"/>
    <d v="1899-12-30T15:13:00"/>
    <x v="0"/>
    <m/>
    <x v="0"/>
    <s v="Vacante"/>
    <m/>
    <m/>
    <s v="RRHH"/>
    <x v="4"/>
    <m/>
    <m/>
    <s v="Acercamiento"/>
    <x v="0"/>
    <x v="0"/>
    <s v="Se redirecciona a Alix de la Rosa"/>
    <m/>
    <m/>
    <m/>
    <m/>
  </r>
  <r>
    <s v="Pagina Web"/>
    <d v="2026-03-26T00:00:00"/>
    <d v="1899-12-30T12:27:00"/>
    <d v="2026-03-26T00:00:00"/>
    <d v="1899-12-30T12:27:00"/>
    <x v="0"/>
    <m/>
    <x v="20"/>
    <s v="Potenciales"/>
    <s v="Kaoz Industries"/>
    <m/>
    <s v="Cotizacion Unica"/>
    <x v="0"/>
    <m/>
    <m/>
    <s v="Acercamiento"/>
    <x v="0"/>
    <x v="0"/>
    <m/>
    <m/>
    <m/>
    <m/>
    <m/>
  </r>
  <r>
    <s v="Pagina Web"/>
    <d v="2026-03-26T00:00:00"/>
    <d v="1899-12-30T12:27:00"/>
    <d v="2026-03-26T00:00:00"/>
    <d v="1899-12-30T12:27:00"/>
    <x v="0"/>
    <m/>
    <x v="0"/>
    <s v="Potenciales"/>
    <m/>
    <s v="302 2379832"/>
    <s v="Cotizacion Operacion"/>
    <x v="0"/>
    <m/>
    <m/>
    <s v="Acercamiento"/>
    <x v="0"/>
    <x v="0"/>
    <m/>
    <m/>
    <m/>
    <m/>
    <m/>
  </r>
  <r>
    <s v="Pagina Web"/>
    <d v="2026-03-26T00:00:00"/>
    <d v="1899-12-30T13:07:00"/>
    <d v="2026-03-26T00:00:00"/>
    <d v="1899-12-30T13:07:00"/>
    <x v="0"/>
    <m/>
    <x v="0"/>
    <s v="Potenciales"/>
    <m/>
    <s v="310 7953141"/>
    <s v="Cotizacion Unica"/>
    <x v="8"/>
    <m/>
    <m/>
    <s v="Acercamiento"/>
    <x v="0"/>
    <x v="0"/>
    <m/>
    <m/>
    <m/>
    <m/>
    <m/>
  </r>
  <r>
    <s v="Pagina Web"/>
    <d v="2026-03-27T00:00:00"/>
    <d v="1899-12-30T14:53:00"/>
    <d v="2026-03-27T00:00:00"/>
    <d v="1899-12-30T14:53:00"/>
    <x v="0"/>
    <m/>
    <x v="21"/>
    <s v="Potenciales"/>
    <s v="Life innovation"/>
    <m/>
    <s v="Cotizacion Unica"/>
    <x v="0"/>
    <m/>
    <m/>
    <s v="Acercamiento"/>
    <x v="0"/>
    <x v="0"/>
    <m/>
    <m/>
    <m/>
    <m/>
    <m/>
  </r>
  <r>
    <s v="Pagina Web"/>
    <d v="2026-03-29T00:00:00"/>
    <d v="1899-12-30T19:34:00"/>
    <d v="2026-03-30T00:00:00"/>
    <d v="1899-12-30T09:36:00"/>
    <x v="0"/>
    <m/>
    <x v="0"/>
    <s v="Potenciales"/>
    <m/>
    <s v="301 3228521"/>
    <s v="Cotizacion Unica"/>
    <x v="2"/>
    <m/>
    <m/>
    <s v="Acercamiento"/>
    <x v="0"/>
    <x v="0"/>
    <m/>
    <m/>
    <m/>
    <m/>
    <m/>
  </r>
  <r>
    <s v="Pagina Web"/>
    <d v="2026-03-30T00:00:00"/>
    <d v="1899-12-30T06:08:00"/>
    <d v="2026-03-30T00:00:00"/>
    <d v="1899-12-30T10:34:00"/>
    <x v="0"/>
    <m/>
    <x v="2"/>
    <s v="Afiliado"/>
    <m/>
    <s v="314 4149496"/>
    <s v="Flota"/>
    <x v="0"/>
    <m/>
    <m/>
    <s v="Acercamiento"/>
    <x v="0"/>
    <x v="0"/>
    <s v="Se redirecciona a Jose Sandoval"/>
    <m/>
    <m/>
    <m/>
    <m/>
  </r>
  <r>
    <s v="Pagina Web"/>
    <d v="2026-03-30T00:00:00"/>
    <d v="1899-12-30T14:31:00"/>
    <d v="2026-03-31T00:00:00"/>
    <d v="1899-12-30T08:12:00"/>
    <x v="0"/>
    <m/>
    <x v="22"/>
    <s v="Potenciales"/>
    <s v="FOREX CARGO"/>
    <m/>
    <s v="Cotizacion Unica"/>
    <x v="6"/>
    <m/>
    <m/>
    <s v="Acercamiento"/>
    <x v="0"/>
    <x v="0"/>
    <m/>
    <m/>
    <m/>
    <m/>
    <m/>
  </r>
  <r>
    <s v="Pagina Web"/>
    <d v="2026-03-30T00:00:00"/>
    <d v="1899-12-30T13:45:00"/>
    <d v="2026-03-30T00:00:00"/>
    <d v="1899-12-30T13:45:00"/>
    <x v="0"/>
    <m/>
    <x v="23"/>
    <s v="Potenciales"/>
    <s v="Tienda Gekkomas"/>
    <m/>
    <s v="Cotizacion Operacion"/>
    <x v="0"/>
    <m/>
    <m/>
    <s v="Acercamiento"/>
    <x v="0"/>
    <x v="0"/>
    <m/>
    <m/>
    <m/>
    <m/>
    <m/>
  </r>
  <r>
    <s v="Pagina Web"/>
    <d v="2026-03-30T00:00:00"/>
    <d v="1899-12-30T04:36:00"/>
    <d v="2026-03-31T00:00:00"/>
    <d v="1899-12-30T08:15:00"/>
    <x v="0"/>
    <m/>
    <x v="0"/>
    <s v="Potenciales"/>
    <m/>
    <s v="320 7124253"/>
    <s v="Cotizacion Unica"/>
    <x v="0"/>
    <m/>
    <m/>
    <s v="Acercamiento"/>
    <x v="0"/>
    <x v="0"/>
    <m/>
    <m/>
    <m/>
    <m/>
    <m/>
  </r>
  <r>
    <s v="Pagina Web"/>
    <d v="2026-03-30T00:00:00"/>
    <d v="1899-12-30T19:14:00"/>
    <d v="2026-03-31T00:00:00"/>
    <d v="1899-12-30T08:20:00"/>
    <x v="0"/>
    <m/>
    <x v="0"/>
    <s v="Potenciales"/>
    <m/>
    <s v="312 8978834"/>
    <s v="Proveedor"/>
    <x v="3"/>
    <m/>
    <m/>
    <s v="Acercamiento"/>
    <x v="0"/>
    <x v="0"/>
    <m/>
    <m/>
    <m/>
    <m/>
    <m/>
  </r>
  <r>
    <s v="Pagina Web"/>
    <d v="2026-03-31T00:00:00"/>
    <d v="1899-12-30T07:28:00"/>
    <d v="2026-03-31T00:00:00"/>
    <d v="1899-12-30T08:28:00"/>
    <x v="0"/>
    <m/>
    <x v="0"/>
    <s v="Potenciales"/>
    <m/>
    <s v="310 7308538"/>
    <s v="Cotizacion Unica"/>
    <x v="2"/>
    <m/>
    <m/>
    <s v="Acercamiento"/>
    <x v="0"/>
    <x v="0"/>
    <m/>
    <m/>
    <m/>
    <m/>
    <m/>
  </r>
  <r>
    <s v="Pagina Web"/>
    <d v="2026-03-31T00:00:00"/>
    <d v="1899-12-30T07:10:00"/>
    <d v="2026-03-31T00:00:00"/>
    <d v="1899-12-30T08:26:00"/>
    <x v="0"/>
    <m/>
    <x v="0"/>
    <s v="Potenciales"/>
    <m/>
    <s v="317 6971049"/>
    <s v="Cotizacion Unica"/>
    <x v="2"/>
    <m/>
    <m/>
    <s v="Acercamiento"/>
    <x v="0"/>
    <x v="0"/>
    <m/>
    <m/>
    <m/>
    <m/>
    <m/>
  </r>
  <r>
    <s v="Pagina Web"/>
    <d v="2026-03-31T00:00:00"/>
    <d v="1899-12-30T08:09:00"/>
    <d v="2026-03-31T00:00:00"/>
    <d v="1899-12-30T08:29:00"/>
    <x v="0"/>
    <m/>
    <x v="0"/>
    <s v="Potenciales"/>
    <m/>
    <s v="314 6407034"/>
    <s v="Cotizacion Unica"/>
    <x v="0"/>
    <m/>
    <m/>
    <s v="Acercamiento"/>
    <x v="0"/>
    <x v="0"/>
    <m/>
    <m/>
    <m/>
    <m/>
    <m/>
  </r>
  <r>
    <s v="Pagina Web"/>
    <d v="2026-03-31T00:00:00"/>
    <d v="1899-12-30T11:54:00"/>
    <d v="2026-03-31T00:00:00"/>
    <d v="1899-12-30T11:54:00"/>
    <x v="0"/>
    <m/>
    <x v="0"/>
    <s v="Potenciales"/>
    <m/>
    <s v="314 4660225"/>
    <s v="Proveedor"/>
    <x v="3"/>
    <m/>
    <m/>
    <s v="Acercamiento"/>
    <x v="0"/>
    <x v="0"/>
    <m/>
    <m/>
    <m/>
    <m/>
    <m/>
  </r>
  <r>
    <s v="Pagina Web"/>
    <d v="2026-04-01T00:00:00"/>
    <d v="1899-12-30T16:23:00"/>
    <d v="2026-03-08T00:00:00"/>
    <d v="1899-12-30T12:56:00"/>
    <x v="0"/>
    <m/>
    <x v="0"/>
    <s v="Potenciales"/>
    <m/>
    <s v="86 13619299256"/>
    <s v="Proveedor"/>
    <x v="3"/>
    <m/>
    <m/>
    <s v="Acercamiento"/>
    <x v="0"/>
    <x v="0"/>
    <m/>
    <m/>
    <m/>
    <m/>
    <m/>
  </r>
  <r>
    <s v="Pagina Web"/>
    <d v="2026-04-01T00:00:00"/>
    <d v="1899-12-30T10:52:00"/>
    <d v="2026-04-01T00:00:00"/>
    <d v="1899-12-30T11:55:00"/>
    <x v="0"/>
    <m/>
    <x v="0"/>
    <s v="Potenciales"/>
    <m/>
    <s v="311 4444960"/>
    <s v="Cotizacion Unica"/>
    <x v="6"/>
    <m/>
    <m/>
    <s v="Acercamiento"/>
    <x v="0"/>
    <x v="0"/>
    <m/>
    <m/>
    <m/>
    <m/>
    <m/>
  </r>
  <r>
    <s v="Pagina Web"/>
    <d v="2026-04-01T00:00:00"/>
    <d v="1899-12-30T11:57:00"/>
    <d v="2026-04-01T00:00:00"/>
    <d v="1899-12-30T11:57:00"/>
    <x v="0"/>
    <m/>
    <x v="0"/>
    <s v="Potenciales"/>
    <m/>
    <s v="304 3801442"/>
    <s v="Cotizacion Operacion"/>
    <x v="7"/>
    <m/>
    <m/>
    <s v="Acercamiento"/>
    <x v="0"/>
    <x v="0"/>
    <m/>
    <m/>
    <m/>
    <m/>
    <m/>
  </r>
  <r>
    <s v="Pagina Web"/>
    <d v="2026-04-01T00:00:00"/>
    <d v="1899-12-30T09:04:00"/>
    <d v="2026-04-01T00:00:00"/>
    <d v="1899-12-30T09:04:00"/>
    <x v="0"/>
    <m/>
    <x v="0"/>
    <s v="Potenciales"/>
    <m/>
    <s v="300 7025705"/>
    <s v="Cotizacion Unica"/>
    <x v="0"/>
    <m/>
    <m/>
    <s v="Acercamiento"/>
    <x v="0"/>
    <x v="0"/>
    <m/>
    <m/>
    <m/>
    <m/>
    <m/>
  </r>
  <r>
    <s v="Pagina Web"/>
    <d v="2026-04-01T00:00:00"/>
    <d v="1899-12-30T12:11:00"/>
    <d v="2026-04-01T00:00:00"/>
    <d v="1899-12-30T12:11:00"/>
    <x v="0"/>
    <m/>
    <x v="0"/>
    <s v="Potenciales"/>
    <m/>
    <s v="318 3500285"/>
    <s v="Proveedor"/>
    <x v="3"/>
    <m/>
    <m/>
    <s v="Acercamiento"/>
    <x v="0"/>
    <x v="0"/>
    <m/>
    <m/>
    <m/>
    <m/>
    <m/>
  </r>
  <r>
    <s v="Pagina Web"/>
    <d v="2026-04-01T00:00:00"/>
    <d v="1899-12-30T06:54:00"/>
    <d v="2026-04-01T00:00:00"/>
    <d v="1899-12-30T06:54:00"/>
    <x v="0"/>
    <m/>
    <x v="0"/>
    <s v="Potenciales"/>
    <m/>
    <s v="319 2787784"/>
    <s v="Proveedor"/>
    <x v="3"/>
    <m/>
    <m/>
    <s v="Acercamiento"/>
    <x v="0"/>
    <x v="0"/>
    <m/>
    <m/>
    <m/>
    <m/>
    <m/>
  </r>
  <r>
    <s v="Pagina Web"/>
    <d v="2026-04-02T00:00:00"/>
    <d v="1899-12-30T11:32:00"/>
    <d v="2026-03-08T00:00:00"/>
    <d v="1899-12-30T12:55:00"/>
    <x v="0"/>
    <m/>
    <x v="0"/>
    <s v="Potenciales"/>
    <m/>
    <s v="313 6475858"/>
    <s v="Proveedor"/>
    <x v="3"/>
    <m/>
    <m/>
    <s v="Acercamiento"/>
    <x v="0"/>
    <x v="0"/>
    <m/>
    <m/>
    <m/>
    <m/>
    <m/>
  </r>
  <r>
    <s v="Pagina Web"/>
    <d v="2026-04-02T00:00:00"/>
    <d v="1899-12-30T08:07:00"/>
    <d v="2026-03-08T00:00:00"/>
    <d v="1899-12-30T12:55:00"/>
    <x v="0"/>
    <m/>
    <x v="0"/>
    <s v="Potenciales"/>
    <m/>
    <s v="314 6171129"/>
    <s v="Proveedor"/>
    <x v="3"/>
    <m/>
    <m/>
    <s v="Acercamiento"/>
    <x v="0"/>
    <x v="0"/>
    <m/>
    <m/>
    <m/>
    <m/>
    <m/>
  </r>
  <r>
    <s v="Pagina Web"/>
    <d v="2026-04-03T00:00:00"/>
    <d v="1899-12-30T16:45:00"/>
    <d v="2026-03-08T00:00:00"/>
    <d v="1899-12-30T12:50:00"/>
    <x v="0"/>
    <m/>
    <x v="0"/>
    <s v="Potenciales"/>
    <m/>
    <s v="322 6042580"/>
    <s v="Proveedor"/>
    <x v="3"/>
    <m/>
    <m/>
    <s v="Acercamiento"/>
    <x v="0"/>
    <x v="0"/>
    <m/>
    <m/>
    <m/>
    <m/>
    <m/>
  </r>
  <r>
    <s v="Pagina Web"/>
    <d v="2026-04-04T00:00:00"/>
    <d v="1899-12-30T10:44:00"/>
    <d v="2026-03-08T00:00:00"/>
    <d v="1899-12-30T12:48:00"/>
    <x v="0"/>
    <m/>
    <x v="0"/>
    <s v="Potenciales"/>
    <m/>
    <s v="304 3548591"/>
    <s v="Proveedor"/>
    <x v="3"/>
    <m/>
    <m/>
    <s v="Acercamiento"/>
    <x v="0"/>
    <x v="0"/>
    <m/>
    <m/>
    <m/>
    <m/>
    <m/>
  </r>
  <r>
    <s v="Pagina Web"/>
    <d v="2026-04-04T00:00:00"/>
    <d v="1899-12-30T09:37:00"/>
    <d v="2026-03-08T00:00:00"/>
    <d v="1899-12-30T12:49:00"/>
    <x v="0"/>
    <m/>
    <x v="0"/>
    <s v="Potenciales"/>
    <m/>
    <s v="304 3628941"/>
    <s v="Proveedor"/>
    <x v="3"/>
    <m/>
    <m/>
    <s v="Acercamiento"/>
    <x v="0"/>
    <x v="0"/>
    <m/>
    <m/>
    <m/>
    <m/>
    <m/>
  </r>
  <r>
    <s v="Pagina Web"/>
    <d v="2026-04-04T00:00:00"/>
    <d v="1899-12-30T09:54:00"/>
    <d v="2026-03-08T00:00:00"/>
    <d v="1899-12-30T12:48:00"/>
    <x v="0"/>
    <m/>
    <x v="0"/>
    <s v="Potenciales"/>
    <m/>
    <s v="311 8918328"/>
    <s v="Proveedor"/>
    <x v="3"/>
    <m/>
    <m/>
    <s v="Acercamiento"/>
    <x v="0"/>
    <x v="0"/>
    <m/>
    <m/>
    <m/>
    <m/>
    <m/>
  </r>
  <r>
    <s v="Pagina Web"/>
    <d v="2026-04-04T00:00:00"/>
    <d v="1899-12-30T12:17:00"/>
    <d v="2026-03-08T00:00:00"/>
    <d v="1899-12-30T12:51:00"/>
    <x v="0"/>
    <m/>
    <x v="0"/>
    <s v="Potenciales"/>
    <m/>
    <s v="313 3224668"/>
    <s v="Proveedor"/>
    <x v="3"/>
    <m/>
    <m/>
    <s v="Acercamiento"/>
    <x v="0"/>
    <x v="0"/>
    <m/>
    <m/>
    <m/>
    <m/>
    <m/>
  </r>
  <r>
    <s v="Pagina Web"/>
    <d v="2026-04-04T00:00:00"/>
    <d v="1899-12-30T08:35:00"/>
    <d v="2026-03-08T00:00:00"/>
    <d v="1899-12-30T12:49:00"/>
    <x v="0"/>
    <m/>
    <x v="0"/>
    <s v="Potenciales"/>
    <m/>
    <s v="324 6831286"/>
    <s v="Proveedor"/>
    <x v="3"/>
    <m/>
    <m/>
    <s v="Acercamiento"/>
    <x v="0"/>
    <x v="0"/>
    <m/>
    <m/>
    <m/>
    <m/>
    <m/>
  </r>
  <r>
    <s v="Pagina Web"/>
    <d v="2026-04-05T00:00:00"/>
    <d v="1899-12-30T09:33:00"/>
    <d v="2026-03-08T00:00:00"/>
    <d v="1899-12-30T12:52:00"/>
    <x v="0"/>
    <m/>
    <x v="2"/>
    <s v="Afiliado"/>
    <m/>
    <s v="321 2288519"/>
    <s v="Flota"/>
    <x v="0"/>
    <m/>
    <m/>
    <s v="Acercamiento"/>
    <x v="0"/>
    <x v="0"/>
    <s v="Se redirecciona a Jose Sandoval"/>
    <m/>
    <m/>
    <m/>
    <m/>
  </r>
  <r>
    <s v="Pagina Web"/>
    <d v="2026-04-05T00:00:00"/>
    <d v="1899-12-30T18:37:00"/>
    <d v="2026-03-08T00:00:00"/>
    <d v="1899-12-30T12:54:00"/>
    <x v="0"/>
    <m/>
    <x v="0"/>
    <s v="Potenciales"/>
    <m/>
    <s v="312 21501720"/>
    <s v="Proveedor"/>
    <x v="3"/>
    <m/>
    <m/>
    <s v="Acercamiento"/>
    <x v="0"/>
    <x v="0"/>
    <m/>
    <m/>
    <m/>
    <m/>
    <m/>
  </r>
  <r>
    <s v="Pagina Web"/>
    <d v="2026-04-05T00:00:00"/>
    <d v="1899-12-30T18:51:00"/>
    <d v="2026-03-08T00:00:00"/>
    <d v="1899-12-30T12:45:00"/>
    <x v="0"/>
    <m/>
    <x v="0"/>
    <s v="Potenciales"/>
    <m/>
    <s v="322 5116858"/>
    <s v="Proveedor"/>
    <x v="3"/>
    <m/>
    <m/>
    <s v="Acercamiento"/>
    <x v="0"/>
    <x v="0"/>
    <m/>
    <m/>
    <m/>
    <m/>
    <m/>
  </r>
  <r>
    <s v="Pagina Web"/>
    <d v="2026-04-05T00:00:00"/>
    <d v="1899-12-30T06:35:00"/>
    <d v="2026-03-08T00:00:00"/>
    <d v="1899-12-30T12:47:00"/>
    <x v="0"/>
    <m/>
    <x v="0"/>
    <s v="Potenciales"/>
    <m/>
    <s v="324 4925904"/>
    <s v="Proveedor"/>
    <x v="3"/>
    <m/>
    <m/>
    <s v="Acercamiento"/>
    <x v="0"/>
    <x v="0"/>
    <m/>
    <m/>
    <m/>
    <m/>
    <m/>
  </r>
  <r>
    <s v="Pagina Web"/>
    <d v="2026-04-06T00:00:00"/>
    <d v="1899-12-30T08:50:00"/>
    <d v="2026-04-07T00:00:00"/>
    <d v="1899-12-30T08:41:00"/>
    <x v="0"/>
    <m/>
    <x v="2"/>
    <s v="Afiliado"/>
    <m/>
    <s v="310 8055213"/>
    <s v="Flota"/>
    <x v="0"/>
    <m/>
    <m/>
    <s v="Acercamiento"/>
    <x v="0"/>
    <x v="0"/>
    <s v="Se redirecciona a Jose Sandoval"/>
    <m/>
    <m/>
    <m/>
    <m/>
  </r>
  <r>
    <s v="Pagina Web"/>
    <d v="2026-04-06T00:00:00"/>
    <d v="1899-12-30T11:52:00"/>
    <d v="2026-03-08T00:00:00"/>
    <d v="1899-12-30T12:40:00"/>
    <x v="0"/>
    <m/>
    <x v="2"/>
    <s v="Afiliado"/>
    <m/>
    <s v="301 6442700"/>
    <s v="Flota"/>
    <x v="0"/>
    <m/>
    <m/>
    <s v="Acercamiento"/>
    <x v="0"/>
    <x v="0"/>
    <s v="Se redirecciona a Jose Sandoval"/>
    <m/>
    <m/>
    <m/>
    <m/>
  </r>
  <r>
    <s v="Pagina Web"/>
    <d v="2026-04-06T00:00:00"/>
    <d v="1899-12-30T04:04:00"/>
    <d v="2026-03-08T00:00:00"/>
    <d v="1899-12-30T12:28:00"/>
    <x v="0"/>
    <m/>
    <x v="2"/>
    <s v="Afiliado"/>
    <m/>
    <s v="311 5591396"/>
    <s v="Saldos"/>
    <x v="1"/>
    <m/>
    <m/>
    <s v="Acercamiento"/>
    <x v="0"/>
    <x v="0"/>
    <s v="Se redirecciona a Mileidys Tejada"/>
    <m/>
    <m/>
    <m/>
    <m/>
  </r>
  <r>
    <s v="Pagina Web"/>
    <d v="2026-04-06T00:00:00"/>
    <d v="1899-12-30T11:17:00"/>
    <d v="2026-03-08T00:00:00"/>
    <d v="1899-12-30T12:43:00"/>
    <x v="0"/>
    <m/>
    <x v="2"/>
    <s v="Afiliado"/>
    <m/>
    <s v="314 4782984"/>
    <s v="Saldos"/>
    <x v="1"/>
    <m/>
    <m/>
    <s v="Acercamiento"/>
    <x v="0"/>
    <x v="0"/>
    <s v="Se redirecciona a Mileidys Tejada"/>
    <m/>
    <m/>
    <m/>
    <m/>
  </r>
  <r>
    <s v="META"/>
    <d v="2026-04-06T00:00:00"/>
    <d v="1899-12-30T13:50:00"/>
    <d v="2026-03-08T00:00:00"/>
    <d v="1899-12-30T12:31:00"/>
    <x v="0"/>
    <m/>
    <x v="24"/>
    <s v="Potenciales"/>
    <s v="Pinturas Prime"/>
    <m/>
    <s v="Proveedor"/>
    <x v="3"/>
    <m/>
    <m/>
    <s v="Acercamiento"/>
    <x v="0"/>
    <x v="0"/>
    <m/>
    <m/>
    <m/>
    <m/>
    <m/>
  </r>
  <r>
    <s v="Pagina Web"/>
    <d v="2026-04-06T00:00:00"/>
    <d v="1899-12-30T01:18:00"/>
    <d v="2026-03-08T00:00:00"/>
    <d v="1899-12-30T12:33:00"/>
    <x v="0"/>
    <m/>
    <x v="25"/>
    <s v="Potenciales"/>
    <s v="Tecnoempaques"/>
    <m/>
    <s v="Cotizacion Operacion"/>
    <x v="0"/>
    <m/>
    <m/>
    <s v="Acercamiento"/>
    <x v="0"/>
    <x v="0"/>
    <m/>
    <m/>
    <m/>
    <m/>
    <m/>
  </r>
  <r>
    <s v="Pagina Web"/>
    <d v="2026-04-06T00:00:00"/>
    <d v="1899-12-30T11:30:00"/>
    <d v="2026-03-08T00:00:00"/>
    <d v="1899-12-30T12:42:00"/>
    <x v="0"/>
    <m/>
    <x v="0"/>
    <s v="Potenciales"/>
    <m/>
    <s v="312 5681906"/>
    <s v="Cotizacion Unica"/>
    <x v="2"/>
    <m/>
    <m/>
    <s v="Acercamiento"/>
    <x v="0"/>
    <x v="0"/>
    <m/>
    <m/>
    <m/>
    <m/>
    <m/>
  </r>
  <r>
    <s v="Pagina Web"/>
    <d v="2026-04-06T00:00:00"/>
    <d v="1899-12-30T11:58:00"/>
    <d v="2026-03-08T00:00:00"/>
    <d v="1899-12-30T12:39:00"/>
    <x v="0"/>
    <m/>
    <x v="0"/>
    <s v="Vacante"/>
    <m/>
    <s v="304 6729602"/>
    <s v="RRHH"/>
    <x v="4"/>
    <m/>
    <m/>
    <s v="Acercamiento"/>
    <x v="0"/>
    <x v="0"/>
    <s v="Se redirecciona a Alix de la Rosa"/>
    <m/>
    <m/>
    <m/>
    <m/>
  </r>
  <r>
    <s v="Pagina Web"/>
    <d v="2026-04-06T00:00:00"/>
    <d v="1899-12-30T10:58:00"/>
    <d v="2026-03-08T00:00:00"/>
    <d v="1899-12-30T12:44:00"/>
    <x v="0"/>
    <m/>
    <x v="0"/>
    <s v="Potenciales"/>
    <m/>
    <s v="302 1255047"/>
    <s v="Proveedor"/>
    <x v="3"/>
    <m/>
    <m/>
    <s v="Acercamiento"/>
    <x v="0"/>
    <x v="0"/>
    <m/>
    <m/>
    <m/>
    <m/>
    <m/>
  </r>
  <r>
    <s v="Pagina Web"/>
    <d v="2026-04-06T00:00:00"/>
    <d v="1899-12-30T10:53:00"/>
    <d v="2026-03-08T00:00:00"/>
    <d v="1899-12-30T12:36:00"/>
    <x v="0"/>
    <m/>
    <x v="0"/>
    <s v="Potenciales"/>
    <m/>
    <s v="312 7314953"/>
    <s v="Proveedor"/>
    <x v="3"/>
    <m/>
    <m/>
    <s v="Acercamiento"/>
    <x v="0"/>
    <x v="0"/>
    <m/>
    <m/>
    <m/>
    <m/>
    <m/>
  </r>
  <r>
    <s v="Pagina Web"/>
    <d v="2026-04-06T00:00:00"/>
    <d v="1899-12-30T07:53:00"/>
    <d v="2026-03-08T00:00:00"/>
    <d v="1899-12-30T12:45:00"/>
    <x v="0"/>
    <m/>
    <x v="0"/>
    <s v="Potenciales"/>
    <m/>
    <s v="321 3937453"/>
    <s v="Proveedor"/>
    <x v="3"/>
    <m/>
    <m/>
    <s v="Acercamiento"/>
    <x v="0"/>
    <x v="0"/>
    <m/>
    <m/>
    <m/>
    <m/>
    <m/>
  </r>
  <r>
    <s v="Pagina Web"/>
    <d v="2026-04-07T00:00:00"/>
    <d v="1899-12-30T08:03:00"/>
    <d v="2026-03-08T00:00:00"/>
    <d v="1899-12-30T12:26:00"/>
    <x v="0"/>
    <m/>
    <x v="2"/>
    <s v="Afiliado"/>
    <m/>
    <s v="311 8924148"/>
    <s v="Flota"/>
    <x v="0"/>
    <m/>
    <m/>
    <s v="Acercamiento"/>
    <x v="0"/>
    <x v="0"/>
    <s v="Se redirecciona a Jose Sandoval"/>
    <m/>
    <m/>
    <m/>
    <m/>
  </r>
  <r>
    <s v="Pagina Web"/>
    <d v="2026-04-07T00:00:00"/>
    <d v="1899-12-30T08:28:00"/>
    <d v="2026-04-08T00:00:00"/>
    <d v="1899-12-30T12:15:00"/>
    <x v="0"/>
    <m/>
    <x v="0"/>
    <s v="Potenciales"/>
    <m/>
    <s v="320 9936925"/>
    <s v="Cotizacion Unica"/>
    <x v="6"/>
    <m/>
    <m/>
    <s v="Acercamiento"/>
    <x v="0"/>
    <x v="0"/>
    <m/>
    <m/>
    <m/>
    <m/>
    <m/>
  </r>
  <r>
    <s v="Pagina Web"/>
    <d v="2026-04-07T00:00:00"/>
    <d v="1899-12-30T09:33:00"/>
    <d v="2026-04-08T00:00:00"/>
    <d v="1899-12-30T12:10:00"/>
    <x v="0"/>
    <m/>
    <x v="0"/>
    <s v="Potenciales"/>
    <m/>
    <s v="304 6500030"/>
    <s v="Proveedor"/>
    <x v="3"/>
    <m/>
    <m/>
    <s v="Acercamiento"/>
    <x v="0"/>
    <x v="0"/>
    <m/>
    <m/>
    <m/>
    <m/>
    <m/>
  </r>
  <r>
    <s v="Pagina Web"/>
    <d v="2026-04-07T00:00:00"/>
    <d v="1899-12-30T12:04:00"/>
    <d v="2026-04-08T00:00:00"/>
    <d v="1899-12-30T12:09:00"/>
    <x v="0"/>
    <m/>
    <x v="0"/>
    <s v="Potenciales"/>
    <m/>
    <s v="322 7194817"/>
    <s v="Proveedor"/>
    <x v="3"/>
    <m/>
    <m/>
    <s v="Acercamiento"/>
    <x v="0"/>
    <x v="0"/>
    <m/>
    <m/>
    <m/>
    <m/>
    <m/>
  </r>
  <r>
    <s v="Pagina Web"/>
    <d v="2026-04-07T00:00:00"/>
    <d v="1899-12-30T17:28:00"/>
    <d v="2026-04-07T00:00:00"/>
    <d v="1899-12-30T18:11:00"/>
    <x v="0"/>
    <m/>
    <x v="0"/>
    <s v="Potenciales"/>
    <m/>
    <s v="310 5304880"/>
    <s v="Cotizacion Unica"/>
    <x v="0"/>
    <m/>
    <m/>
    <s v="Acercamiento"/>
    <x v="0"/>
    <x v="0"/>
    <m/>
    <m/>
    <m/>
    <m/>
    <m/>
  </r>
  <r>
    <s v="Pagina Web"/>
    <d v="2026-04-08T00:00:00"/>
    <d v="1899-12-30T10:04:00"/>
    <d v="2026-04-08T00:00:00"/>
    <d v="1899-12-30T10:34:00"/>
    <x v="0"/>
    <m/>
    <x v="2"/>
    <s v="Afiliado"/>
    <m/>
    <s v="314 4350013"/>
    <s v="Saldos"/>
    <x v="1"/>
    <m/>
    <m/>
    <s v="Acercamiento"/>
    <x v="0"/>
    <x v="0"/>
    <s v="Se redirecciona a Mileidys Tejada"/>
    <m/>
    <m/>
    <m/>
    <m/>
  </r>
  <r>
    <s v="META"/>
    <d v="2026-04-08T00:00:00"/>
    <d v="1899-12-30T09:51:00"/>
    <d v="2026-04-08T00:00:00"/>
    <d v="1899-12-30T10:33:00"/>
    <x v="0"/>
    <m/>
    <x v="26"/>
    <s v="Potenciales"/>
    <s v="luxent"/>
    <m/>
    <m/>
    <x v="6"/>
    <m/>
    <m/>
    <s v="Acercamiento"/>
    <x v="0"/>
    <x v="0"/>
    <m/>
    <m/>
    <m/>
    <m/>
    <m/>
  </r>
  <r>
    <s v="Llamada"/>
    <d v="2026-04-08T00:00:00"/>
    <d v="1899-12-30T10:10:00"/>
    <d v="2026-04-08T00:00:00"/>
    <d v="1899-12-30T10:10:00"/>
    <x v="0"/>
    <m/>
    <x v="27"/>
    <s v="Potenciales"/>
    <s v="Alfredo  Gonzalez"/>
    <m/>
    <s v="Cotizacion Operacion"/>
    <x v="0"/>
    <m/>
    <m/>
    <s v="Acercamiento"/>
    <x v="0"/>
    <x v="0"/>
    <m/>
    <m/>
    <m/>
    <m/>
    <m/>
  </r>
  <r>
    <s v="Pagina Web"/>
    <d v="2026-04-08T00:00:00"/>
    <d v="1899-12-30T13:45:00"/>
    <d v="2026-04-10T00:00:00"/>
    <d v="1899-12-30T09:32:00"/>
    <x v="0"/>
    <m/>
    <x v="28"/>
    <s v="Potenciales"/>
    <s v="Tatiana Mendoza"/>
    <m/>
    <s v="Proveedor"/>
    <x v="3"/>
    <m/>
    <m/>
    <s v="Acercamiento"/>
    <x v="0"/>
    <x v="0"/>
    <m/>
    <m/>
    <m/>
    <m/>
    <m/>
  </r>
  <r>
    <s v="Pagina Web"/>
    <d v="2026-04-08T00:00:00"/>
    <d v="1899-12-30T14:42:00"/>
    <d v="2026-04-09T00:00:00"/>
    <d v="1899-12-30T11:25:00"/>
    <x v="0"/>
    <m/>
    <x v="0"/>
    <s v="Potenciales"/>
    <m/>
    <s v="318 6790652"/>
    <s v="Cotizacion Unica"/>
    <x v="2"/>
    <m/>
    <m/>
    <s v="Acercamiento"/>
    <x v="0"/>
    <x v="0"/>
    <m/>
    <m/>
    <m/>
    <m/>
    <m/>
  </r>
  <r>
    <s v="Pagina Web"/>
    <d v="2026-04-08T00:00:00"/>
    <d v="1899-12-30T08:38:00"/>
    <d v="2026-04-08T00:00:00"/>
    <d v="1899-12-30T11:58:00"/>
    <x v="0"/>
    <m/>
    <x v="0"/>
    <s v="Potenciales"/>
    <m/>
    <s v="310 2251132"/>
    <s v="Cotizacion Unica"/>
    <x v="6"/>
    <m/>
    <m/>
    <s v="Acercamiento"/>
    <x v="0"/>
    <x v="0"/>
    <m/>
    <m/>
    <m/>
    <m/>
    <m/>
  </r>
  <r>
    <s v="Pagina Web"/>
    <d v="2026-04-08T00:00:00"/>
    <d v="1899-12-30T14:47:00"/>
    <d v="2026-04-09T00:00:00"/>
    <d v="1899-12-30T11:23:00"/>
    <x v="0"/>
    <m/>
    <x v="0"/>
    <s v="Potenciales"/>
    <m/>
    <s v="302 8062498"/>
    <s v="Cotizacion Unica"/>
    <x v="8"/>
    <m/>
    <m/>
    <s v="Acercamiento"/>
    <x v="0"/>
    <x v="0"/>
    <m/>
    <m/>
    <m/>
    <m/>
    <m/>
  </r>
  <r>
    <s v="Pagina Web"/>
    <d v="2026-04-08T00:00:00"/>
    <d v="1899-12-30T01:19:00"/>
    <d v="2026-04-08T00:00:00"/>
    <d v="1899-12-30T12:03:00"/>
    <x v="0"/>
    <m/>
    <x v="0"/>
    <s v="Potenciales"/>
    <m/>
    <s v="86 19977648259"/>
    <s v="Proveedor"/>
    <x v="3"/>
    <m/>
    <m/>
    <s v="Acercamiento"/>
    <x v="0"/>
    <x v="0"/>
    <m/>
    <m/>
    <m/>
    <m/>
    <m/>
  </r>
  <r>
    <s v="Pagina Web"/>
    <d v="2026-04-08T00:00:00"/>
    <d v="1899-12-30T14:12:00"/>
    <d v="2026-04-09T00:00:00"/>
    <d v="1899-12-30T11:27:00"/>
    <x v="0"/>
    <m/>
    <x v="0"/>
    <s v="Potenciales"/>
    <m/>
    <s v="319 5449177"/>
    <s v="Proveedor"/>
    <x v="3"/>
    <m/>
    <m/>
    <s v="Acercamiento"/>
    <x v="0"/>
    <x v="0"/>
    <m/>
    <m/>
    <m/>
    <m/>
    <m/>
  </r>
  <r>
    <s v="Pagina Web"/>
    <d v="2026-04-09T00:00:00"/>
    <d v="1899-12-30T12:03:00"/>
    <d v="2026-04-09T00:00:00"/>
    <d v="1899-12-30T12:53:00"/>
    <x v="0"/>
    <m/>
    <x v="29"/>
    <s v="Potenciales"/>
    <s v="Impadoc"/>
    <m/>
    <s v="Cotizacion Operacion"/>
    <x v="0"/>
    <m/>
    <m/>
    <s v="Acercamiento"/>
    <x v="0"/>
    <x v="0"/>
    <m/>
    <m/>
    <m/>
    <m/>
    <m/>
  </r>
  <r>
    <s v="Pagina Web"/>
    <d v="2026-04-09T00:00:00"/>
    <d v="1899-12-30T10:40:00"/>
    <d v="2026-04-09T00:00:00"/>
    <d v="1899-12-30T11:40:00"/>
    <x v="0"/>
    <m/>
    <x v="30"/>
    <s v="Potenciales"/>
    <s v="Parasoles Tropicales"/>
    <m/>
    <s v="Proveedor"/>
    <x v="3"/>
    <m/>
    <m/>
    <s v="Acercamiento"/>
    <x v="0"/>
    <x v="0"/>
    <m/>
    <m/>
    <m/>
    <m/>
    <m/>
  </r>
  <r>
    <s v="Pagina Web"/>
    <d v="2026-04-09T00:00:00"/>
    <d v="1899-12-30T10:22:00"/>
    <d v="2026-04-09T00:00:00"/>
    <d v="1899-12-30T10:40:00"/>
    <x v="0"/>
    <m/>
    <x v="31"/>
    <s v="Potenciales"/>
    <s v="Alejandro Parada"/>
    <m/>
    <s v="Proveedor"/>
    <x v="3"/>
    <m/>
    <m/>
    <s v="Acercamiento"/>
    <x v="0"/>
    <x v="0"/>
    <m/>
    <m/>
    <m/>
    <m/>
    <m/>
  </r>
  <r>
    <s v="Pagina Web"/>
    <d v="2026-04-09T00:00:00"/>
    <d v="1899-12-30T07:29:00"/>
    <d v="2026-04-09T00:00:00"/>
    <d v="1899-12-30T10:54:00"/>
    <x v="0"/>
    <m/>
    <x v="0"/>
    <s v="Potenciales"/>
    <m/>
    <s v="316 4802501"/>
    <s v="Cotizacion Unica"/>
    <x v="2"/>
    <m/>
    <m/>
    <s v="Acercamiento"/>
    <x v="0"/>
    <x v="0"/>
    <m/>
    <m/>
    <m/>
    <m/>
    <m/>
  </r>
  <r>
    <s v="Pagina Web"/>
    <d v="2026-04-09T00:00:00"/>
    <d v="1899-12-30T15:29:00"/>
    <d v="2026-04-09T00:00:00"/>
    <d v="1899-12-30T16:50:00"/>
    <x v="0"/>
    <m/>
    <x v="0"/>
    <s v="Potenciales"/>
    <m/>
    <s v="312 5844464"/>
    <s v="Proveedor"/>
    <x v="3"/>
    <m/>
    <m/>
    <s v="Acercamiento"/>
    <x v="0"/>
    <x v="0"/>
    <m/>
    <m/>
    <m/>
    <m/>
    <m/>
  </r>
  <r>
    <s v="Pagina Web"/>
    <d v="2026-04-09T00:00:00"/>
    <d v="1899-12-30T17:27:00"/>
    <d v="2026-04-10T00:00:00"/>
    <d v="1899-12-30T09:25:00"/>
    <x v="0"/>
    <m/>
    <x v="0"/>
    <s v="Potenciales"/>
    <m/>
    <s v="312 3778654"/>
    <s v="Proveedor"/>
    <x v="3"/>
    <m/>
    <m/>
    <s v="Acercamiento"/>
    <x v="0"/>
    <x v="0"/>
    <m/>
    <m/>
    <m/>
    <m/>
    <m/>
  </r>
  <r>
    <s v="Pagina Web"/>
    <d v="2026-04-09T00:00:00"/>
    <d v="1899-12-30T07:59:00"/>
    <d v="2026-04-09T00:00:00"/>
    <d v="1899-12-30T08:00:00"/>
    <x v="0"/>
    <m/>
    <x v="0"/>
    <s v="Potenciales"/>
    <m/>
    <s v="321 9024102"/>
    <s v="Proveedor"/>
    <x v="3"/>
    <m/>
    <m/>
    <s v="Acercamiento"/>
    <x v="0"/>
    <x v="0"/>
    <m/>
    <m/>
    <m/>
    <m/>
    <m/>
  </r>
  <r>
    <s v="Pagina Web"/>
    <d v="2026-04-10T00:00:00"/>
    <d v="1899-12-30T08:37:00"/>
    <d v="2026-04-10T00:00:00"/>
    <d v="1899-12-30T08:37:00"/>
    <x v="0"/>
    <m/>
    <x v="2"/>
    <s v="Afiliado"/>
    <m/>
    <s v="321 4849013"/>
    <s v="Saldos"/>
    <x v="1"/>
    <m/>
    <m/>
    <s v="Acercamiento"/>
    <x v="0"/>
    <x v="0"/>
    <s v="Se redirecciona a Mileidys Tejada"/>
    <m/>
    <m/>
    <m/>
    <m/>
  </r>
  <r>
    <s v="Pagina Web"/>
    <d v="2026-04-10T00:00:00"/>
    <d v="1899-12-30T06:52:00"/>
    <d v="2026-04-10T00:00:00"/>
    <d v="1899-12-30T08:37:00"/>
    <x v="0"/>
    <m/>
    <x v="0"/>
    <s v="Potenciales"/>
    <m/>
    <s v="312 8940398"/>
    <s v="Cotizacion Unica"/>
    <x v="2"/>
    <m/>
    <m/>
    <s v="Acercamiento"/>
    <x v="0"/>
    <x v="0"/>
    <m/>
    <m/>
    <m/>
    <m/>
    <m/>
  </r>
  <r>
    <s v="Pagina Web"/>
    <d v="2026-04-10T00:00:00"/>
    <d v="1899-12-30T15:00:00"/>
    <d v="2026-04-16T00:00:00"/>
    <d v="1899-12-30T15:02:00"/>
    <x v="0"/>
    <m/>
    <x v="2"/>
    <s v="Afiliado"/>
    <m/>
    <s v="315 4088613"/>
    <s v="Saldos"/>
    <x v="9"/>
    <m/>
    <m/>
    <s v="Acercamiento"/>
    <x v="0"/>
    <x v="1"/>
    <m/>
    <m/>
    <m/>
    <m/>
    <m/>
  </r>
  <r>
    <s v="Pagina Web"/>
    <d v="2026-04-11T00:00:00"/>
    <d v="1899-12-30T11:58:00"/>
    <d v="2026-04-11T00:00:00"/>
    <d v="1899-12-30T11:58:00"/>
    <x v="0"/>
    <m/>
    <x v="32"/>
    <s v="Potenciales"/>
    <s v="Leonardo Avendaño"/>
    <m/>
    <s v="Cotizacion Unica"/>
    <x v="0"/>
    <s v="Bogotá, Cundinamarca"/>
    <s v="Paipa, Boyaca"/>
    <s v="Acercamiento"/>
    <x v="0"/>
    <x v="0"/>
    <m/>
    <m/>
    <m/>
    <m/>
    <m/>
  </r>
  <r>
    <s v="Pagina Web"/>
    <d v="2026-04-12T00:00:00"/>
    <d v="1899-12-30T09:19:00"/>
    <d v="2026-04-12T00:00:00"/>
    <d v="1899-12-30T09:19:00"/>
    <x v="0"/>
    <m/>
    <x v="2"/>
    <s v="Afiliado"/>
    <s v="Meyer Varela"/>
    <n v="3228754580"/>
    <s v="Flota"/>
    <x v="0"/>
    <m/>
    <m/>
    <s v="Acercamiento"/>
    <x v="0"/>
    <x v="0"/>
    <s v="Se redirecciona a Jose Sandoval"/>
    <m/>
    <m/>
    <m/>
    <m/>
  </r>
  <r>
    <s v="Pagina Web"/>
    <d v="2026-04-12T00:00:00"/>
    <d v="1899-12-30T09:19:00"/>
    <d v="2026-04-12T00:00:00"/>
    <d v="1899-12-30T09:19:00"/>
    <x v="0"/>
    <m/>
    <x v="2"/>
    <s v="Afiliado"/>
    <m/>
    <n v="3228754580"/>
    <s v="Flota"/>
    <x v="0"/>
    <m/>
    <m/>
    <s v="Acercamiento"/>
    <x v="0"/>
    <x v="0"/>
    <s v="Se redirecciona a Jose Sandoval"/>
    <m/>
    <m/>
    <m/>
    <m/>
  </r>
  <r>
    <s v="Pagina Web"/>
    <d v="2026-04-12T00:00:00"/>
    <d v="1899-12-30T09:15:00"/>
    <d v="2026-04-12T00:00:00"/>
    <d v="1899-12-30T09:15:00"/>
    <x v="0"/>
    <m/>
    <x v="33"/>
    <s v="Potenciales"/>
    <s v="Arcos de Vida"/>
    <m/>
    <s v="Cotizacion Unica"/>
    <x v="0"/>
    <s v="Rionegro, Antioquia"/>
    <s v="Pereira, Risaralda"/>
    <s v="Acercamiento"/>
    <x v="0"/>
    <x v="0"/>
    <m/>
    <m/>
    <m/>
    <m/>
    <m/>
  </r>
  <r>
    <s v="Pagina Web"/>
    <d v="2026-04-13T00:00:00"/>
    <d v="1899-12-30T14:17:00"/>
    <d v="2026-04-13T00:00:00"/>
    <d v="1899-12-30T14:17:00"/>
    <x v="0"/>
    <m/>
    <x v="2"/>
    <s v="Afiliado"/>
    <s v="Jeison Pedraza"/>
    <n v="3133606229"/>
    <s v="Flota"/>
    <x v="0"/>
    <m/>
    <m/>
    <s v="Acercamiento"/>
    <x v="0"/>
    <x v="0"/>
    <s v="Se redirecciona a Jose Sandoval"/>
    <m/>
    <m/>
    <m/>
    <m/>
  </r>
  <r>
    <s v="Pagina Web"/>
    <d v="2026-04-13T00:00:00"/>
    <d v="1899-12-30T16:32:00"/>
    <d v="2026-04-13T00:00:00"/>
    <d v="1899-12-30T16:32:00"/>
    <x v="0"/>
    <m/>
    <x v="2"/>
    <s v="Afiliado"/>
    <s v="Juan Ospina"/>
    <n v="3222704469"/>
    <s v="Flota"/>
    <x v="0"/>
    <s v="Medellin, Antioquia"/>
    <m/>
    <s v="Acercamiento"/>
    <x v="0"/>
    <x v="0"/>
    <s v="Se redirecciona a Jose Sandoval"/>
    <m/>
    <m/>
    <m/>
    <m/>
  </r>
  <r>
    <s v="Pagina Web"/>
    <d v="2026-04-13T00:00:00"/>
    <d v="1899-12-30T15:08:00"/>
    <d v="2026-04-13T00:00:00"/>
    <d v="1899-12-30T15:08:00"/>
    <x v="0"/>
    <m/>
    <x v="2"/>
    <s v="Afiliado"/>
    <m/>
    <n v="3207972590"/>
    <s v="Flota"/>
    <x v="0"/>
    <m/>
    <m/>
    <s v="Acercamiento"/>
    <x v="0"/>
    <x v="0"/>
    <s v="Se redirecciona a Jose Sandoval"/>
    <m/>
    <m/>
    <m/>
    <m/>
  </r>
  <r>
    <s v="Pagina Web"/>
    <d v="2026-04-13T00:00:00"/>
    <d v="1899-12-30T08:10:00"/>
    <d v="2026-04-13T00:00:00"/>
    <d v="1899-12-30T08:11:00"/>
    <x v="0"/>
    <m/>
    <x v="34"/>
    <s v="Potenciales"/>
    <s v="Arnaldo Troncozo"/>
    <m/>
    <s v="Cotizacion Unica"/>
    <x v="0"/>
    <s v="Santa Marta, Madgalena"/>
    <s v="Albania, Guajira"/>
    <s v="Acercamiento"/>
    <x v="0"/>
    <x v="0"/>
    <m/>
    <m/>
    <m/>
    <m/>
    <m/>
  </r>
  <r>
    <s v="Pagina Web"/>
    <d v="2026-04-13T00:00:00"/>
    <d v="1899-12-30T14:50:00"/>
    <d v="2026-04-13T00:00:00"/>
    <d v="1899-12-30T14:50:00"/>
    <x v="0"/>
    <m/>
    <x v="35"/>
    <s v="Potenciales"/>
    <s v="Fredy Romero"/>
    <n v="3006842650"/>
    <s v="Cotizacion Unica"/>
    <x v="2"/>
    <s v="Buenaventura, Valle del Cauca"/>
    <s v="Mosquera, Cundinamarca"/>
    <s v="Acercamiento"/>
    <x v="0"/>
    <x v="0"/>
    <m/>
    <m/>
    <m/>
    <m/>
    <m/>
  </r>
  <r>
    <s v="Pagina Web"/>
    <d v="2026-04-13T00:00:00"/>
    <d v="1899-12-30T10:58:00"/>
    <d v="2026-04-13T00:00:00"/>
    <d v="1899-12-30T11:45:00"/>
    <x v="0"/>
    <m/>
    <x v="36"/>
    <s v="Potenciales"/>
    <s v="Alejandra"/>
    <n v="3212350666"/>
    <s v="Proveedor"/>
    <x v="3"/>
    <m/>
    <m/>
    <s v="Acercamiento"/>
    <x v="0"/>
    <x v="0"/>
    <m/>
    <m/>
    <m/>
    <m/>
    <m/>
  </r>
  <r>
    <s v="Pagina Web"/>
    <d v="2026-04-13T00:00:00"/>
    <d v="1899-12-30T10:08:00"/>
    <d v="2026-04-13T00:00:00"/>
    <d v="1899-12-30T10:08:00"/>
    <x v="0"/>
    <m/>
    <x v="37"/>
    <s v="Potenciales"/>
    <s v="Carolina Gomez"/>
    <n v="3142668718"/>
    <s v="Cotizacion Unica"/>
    <x v="2"/>
    <m/>
    <m/>
    <s v="Acercamiento"/>
    <x v="0"/>
    <x v="0"/>
    <m/>
    <m/>
    <m/>
    <m/>
    <m/>
  </r>
  <r>
    <s v="Pagina Web"/>
    <d v="2026-04-13T00:00:00"/>
    <d v="1899-12-30T14:41:00"/>
    <d v="2026-04-13T00:00:00"/>
    <d v="1899-12-30T14:41:00"/>
    <x v="0"/>
    <m/>
    <x v="38"/>
    <s v="Potenciales"/>
    <s v="Diego Daza"/>
    <n v="3128257679"/>
    <s v="Cotizacion Unica"/>
    <x v="0"/>
    <s v="Santander de Quilichao, Cauca"/>
    <s v="Yumbo, Valle del Cauca"/>
    <s v="Acercamiento"/>
    <x v="0"/>
    <x v="0"/>
    <m/>
    <m/>
    <m/>
    <m/>
    <m/>
  </r>
  <r>
    <s v="Pagina Web"/>
    <d v="2026-04-13T00:00:00"/>
    <d v="1899-12-30T14:13:00"/>
    <d v="2026-04-13T00:00:00"/>
    <d v="1899-12-30T14:13:00"/>
    <x v="0"/>
    <m/>
    <x v="39"/>
    <s v="Potenciales"/>
    <s v="Johana Cano"/>
    <n v="3228093077"/>
    <s v="Cotizacion Operacion"/>
    <x v="10"/>
    <s v="Bogotá, Cundinamarca"/>
    <s v="Bogotá, Cundinamarca"/>
    <s v="Acercamiento"/>
    <x v="0"/>
    <x v="0"/>
    <m/>
    <m/>
    <m/>
    <m/>
    <m/>
  </r>
  <r>
    <s v="Pagina Web"/>
    <d v="2026-04-13T00:00:00"/>
    <d v="1899-12-30T13:03:00"/>
    <d v="2026-04-13T00:00:00"/>
    <d v="1899-12-30T13:03:00"/>
    <x v="0"/>
    <m/>
    <x v="40"/>
    <s v="Vacante"/>
    <s v="Jorman Reales"/>
    <n v="3023986923"/>
    <s v="RRHH"/>
    <x v="4"/>
    <m/>
    <m/>
    <s v="Acercamiento"/>
    <x v="0"/>
    <x v="0"/>
    <s v="Se redirecciona a Alix de la Rosa"/>
    <m/>
    <m/>
    <m/>
    <m/>
  </r>
  <r>
    <s v="Pagina Web"/>
    <d v="2026-04-14T00:00:00"/>
    <d v="1899-12-30T09:00:00"/>
    <d v="2026-04-14T00:00:00"/>
    <d v="1899-12-30T09:15:00"/>
    <x v="0"/>
    <m/>
    <x v="41"/>
    <s v="Potenciales"/>
    <s v="Katherine Rendon"/>
    <n v="3158401953"/>
    <s v="Cotizacion Unica"/>
    <x v="0"/>
    <s v="Medellin, Antioquia"/>
    <s v="Cucuta, Norte de Santander"/>
    <s v="Acercamiento"/>
    <x v="0"/>
    <x v="0"/>
    <m/>
    <m/>
    <m/>
    <m/>
    <m/>
  </r>
  <r>
    <s v="Pagina Web"/>
    <d v="2026-04-14T00:00:00"/>
    <d v="1899-12-30T14:38:00"/>
    <d v="2026-04-14T00:00:00"/>
    <d v="1899-12-30T14:41:00"/>
    <x v="0"/>
    <m/>
    <x v="42"/>
    <s v="Potenciales"/>
    <m/>
    <s v="313 6537042"/>
    <s v="Cotizacion Operacion"/>
    <x v="0"/>
    <s v="Montería"/>
    <s v="Medellín"/>
    <s v="Acercamiento"/>
    <x v="0"/>
    <x v="0"/>
    <m/>
    <m/>
    <m/>
    <m/>
    <m/>
  </r>
  <r>
    <s v="META"/>
    <d v="2026-04-15T00:00:00"/>
    <d v="1899-12-30T21:14:00"/>
    <d v="2026-04-16T00:00:00"/>
    <d v="1899-12-30T15:15:00"/>
    <x v="0"/>
    <m/>
    <x v="43"/>
    <s v="Potenciales"/>
    <s v="Jhon Vargas"/>
    <s v="311 4900182"/>
    <s v="Cotizacion Unica"/>
    <x v="9"/>
    <s v="Bogotá"/>
    <m/>
    <s v="Acercamiento"/>
    <x v="0"/>
    <x v="1"/>
    <m/>
    <m/>
    <m/>
    <s v="Arrendamiento de Bodega"/>
    <m/>
  </r>
  <r>
    <s v="Pagina Web"/>
    <d v="2026-04-15T00:00:00"/>
    <d v="1899-12-30T12:04:00"/>
    <d v="2026-04-15T00:00:00"/>
    <d v="1899-12-30T12:04:00"/>
    <x v="0"/>
    <m/>
    <x v="2"/>
    <s v="Vacante"/>
    <m/>
    <s v="321 3297513"/>
    <s v="RRHH"/>
    <x v="9"/>
    <m/>
    <m/>
    <s v="Acercamiento"/>
    <x v="0"/>
    <x v="2"/>
    <m/>
    <m/>
    <m/>
    <m/>
    <m/>
  </r>
  <r>
    <s v="Pagina Web"/>
    <d v="2026-04-15T00:00:00"/>
    <d v="1899-12-30T11:55:00"/>
    <d v="2026-04-16T00:00:00"/>
    <d v="1899-12-30T15:58:00"/>
    <x v="0"/>
    <m/>
    <x v="44"/>
    <s v="Potenciales"/>
    <s v="Francy"/>
    <s v="311 5032869"/>
    <s v="Cotizacion Operacion"/>
    <x v="9"/>
    <m/>
    <m/>
    <s v="Acercamiento"/>
    <x v="0"/>
    <x v="1"/>
    <m/>
    <m/>
    <m/>
    <m/>
    <m/>
  </r>
  <r>
    <s v="Pagina Web"/>
    <d v="2026-04-15T00:00:00"/>
    <d v="1899-12-30T09:24:00"/>
    <d v="2026-04-16T00:00:00"/>
    <d v="1899-12-30T16:15:00"/>
    <x v="0"/>
    <m/>
    <x v="0"/>
    <s v="Potenciales"/>
    <m/>
    <s v="317 5093840"/>
    <m/>
    <x v="9"/>
    <m/>
    <s v="Nacional"/>
    <s v="Acercamiento"/>
    <x v="0"/>
    <x v="1"/>
    <m/>
    <m/>
    <m/>
    <m/>
    <m/>
  </r>
  <r>
    <s v="Pagina Web"/>
    <d v="2026-04-15T00:00:00"/>
    <d v="1899-12-30T07:32:00"/>
    <d v="2026-04-16T00:00:00"/>
    <d v="1899-12-30T16:18:00"/>
    <x v="0"/>
    <m/>
    <x v="2"/>
    <s v="Afiliado"/>
    <s v="Flota"/>
    <s v="317 6630320"/>
    <s v="Flota"/>
    <x v="9"/>
    <s v="Bogotá"/>
    <m/>
    <s v="Acercamiento"/>
    <x v="0"/>
    <x v="1"/>
    <m/>
    <m/>
    <m/>
    <m/>
    <m/>
  </r>
  <r>
    <s v="Pagina Web"/>
    <d v="2026-04-15T00:00:00"/>
    <d v="1899-12-30T10:51:00"/>
    <d v="2026-04-16T00:00:00"/>
    <d v="1899-12-30T16:11:00"/>
    <x v="0"/>
    <m/>
    <x v="45"/>
    <s v="Potenciales"/>
    <s v="Sebastian Rodriguez"/>
    <s v="310 6696119"/>
    <s v="Cotizacion Unica"/>
    <x v="11"/>
    <s v="Bogotá"/>
    <s v="Venezuela"/>
    <s v="Acercamiento"/>
    <x v="0"/>
    <x v="0"/>
    <m/>
    <m/>
    <m/>
    <m/>
    <m/>
  </r>
  <r>
    <s v="Llamada"/>
    <d v="2026-04-16T00:00:00"/>
    <d v="1899-12-30T10:18:00"/>
    <d v="2026-04-16T00:00:00"/>
    <d v="1899-12-30T10:18:00"/>
    <x v="0"/>
    <m/>
    <x v="46"/>
    <s v="Potenciales"/>
    <m/>
    <m/>
    <s v="RRHH"/>
    <x v="4"/>
    <m/>
    <m/>
    <s v="Acercamiento"/>
    <x v="0"/>
    <x v="1"/>
    <s v="Redireccionada a Jessica"/>
    <m/>
    <m/>
    <m/>
    <m/>
  </r>
  <r>
    <s v="Pagina Web"/>
    <d v="2026-04-16T00:00:00"/>
    <d v="1899-12-30T11:53:00"/>
    <d v="2026-04-16T00:00:00"/>
    <d v="1899-12-30T11:55:00"/>
    <x v="0"/>
    <m/>
    <x v="2"/>
    <s v="Potenciales"/>
    <m/>
    <s v="320 2829151"/>
    <s v="Proveedor"/>
    <x v="3"/>
    <m/>
    <m/>
    <s v="Acercamiento"/>
    <x v="0"/>
    <x v="1"/>
    <m/>
    <m/>
    <m/>
    <m/>
    <m/>
  </r>
  <r>
    <s v="Pagina Web"/>
    <d v="2026-04-16T00:00:00"/>
    <d v="1899-12-30T08:54:00"/>
    <d v="2026-04-16T00:00:00"/>
    <d v="1899-12-30T08:54:00"/>
    <x v="0"/>
    <m/>
    <x v="47"/>
    <s v="Potenciales"/>
    <s v="Andrea Galvis"/>
    <s v="317 3681246"/>
    <s v="Cotizacion Operacion"/>
    <x v="9"/>
    <m/>
    <m/>
    <s v="Acercamiento"/>
    <x v="0"/>
    <x v="1"/>
    <m/>
    <m/>
    <m/>
    <m/>
    <m/>
  </r>
  <r>
    <s v="Pagina Web"/>
    <d v="2026-04-16T00:00:00"/>
    <d v="1899-12-30T12:15:00"/>
    <d v="2026-04-16T00:00:00"/>
    <d v="1899-12-30T12:15:00"/>
    <x v="0"/>
    <m/>
    <x v="48"/>
    <s v="Potenciales"/>
    <s v="Jeffrey Cordoba"/>
    <n v="3105688674"/>
    <s v="Cotizacion Unica"/>
    <x v="0"/>
    <s v="Cali, Valle del Cauca"/>
    <s v="San Agustin, Huila"/>
    <s v="Acercamiento"/>
    <x v="1"/>
    <x v="2"/>
    <s v="Enviar al Cliente"/>
    <m/>
    <m/>
    <m/>
    <m/>
  </r>
  <r>
    <s v="Pagina Web"/>
    <d v="2026-04-16T00:00:00"/>
    <d v="1899-12-30T12:35:00"/>
    <d v="2026-04-16T00:00:00"/>
    <d v="1899-12-30T12:35:00"/>
    <x v="0"/>
    <m/>
    <x v="0"/>
    <s v="Potenciales"/>
    <s v="Lia Vivanco"/>
    <n v="3044457329"/>
    <s v="Cotizacion Unica"/>
    <x v="0"/>
    <s v="Medellin, Antioquia"/>
    <s v="Cartagena, Bolivar"/>
    <s v="Acercamiento"/>
    <x v="1"/>
    <x v="2"/>
    <m/>
    <m/>
    <m/>
    <m/>
    <m/>
  </r>
  <r>
    <s v="Pagina Web"/>
    <d v="2026-04-16T00:00:00"/>
    <d v="1899-12-30T08:16:00"/>
    <d v="2026-04-16T00:00:00"/>
    <d v="1899-12-30T14:51:00"/>
    <x v="0"/>
    <m/>
    <x v="2"/>
    <s v="Afiliado"/>
    <s v="Proveedor"/>
    <s v="322 3859040"/>
    <s v="Proveedor"/>
    <x v="3"/>
    <m/>
    <m/>
    <s v="Acercamiento"/>
    <x v="0"/>
    <x v="1"/>
    <m/>
    <m/>
    <m/>
    <m/>
    <m/>
  </r>
  <r>
    <s v="Pagina Web"/>
    <d v="2026-04-16T00:00:00"/>
    <d v="1899-12-30T15:03:00"/>
    <d v="2026-04-16T00:00:00"/>
    <d v="1899-12-30T15:09:00"/>
    <x v="0"/>
    <m/>
    <x v="2"/>
    <s v="Potenciales"/>
    <m/>
    <m/>
    <m/>
    <x v="2"/>
    <s v="Neiva"/>
    <s v="Armenia"/>
    <s v="Acercamiento"/>
    <x v="0"/>
    <x v="1"/>
    <m/>
    <m/>
    <m/>
    <m/>
    <m/>
  </r>
  <r>
    <s v="META"/>
    <d v="2026-04-16T00:00:00"/>
    <d v="1899-12-30T14:50:00"/>
    <d v="2026-04-16T00:00:00"/>
    <d v="1899-12-30T14:50:00"/>
    <x v="0"/>
    <m/>
    <x v="2"/>
    <s v="Proveedor"/>
    <s v="Proveedor"/>
    <s v="312 5071036"/>
    <s v="Proveedor"/>
    <x v="3"/>
    <m/>
    <m/>
    <s v="Acercamiento"/>
    <x v="0"/>
    <x v="1"/>
    <m/>
    <m/>
    <m/>
    <m/>
    <m/>
  </r>
  <r>
    <s v="Pagina Web"/>
    <d v="2026-04-17T00:00:00"/>
    <d v="1899-12-30T15:05:00"/>
    <d v="2026-04-17T00:00:00"/>
    <d v="1899-12-30T15:05:00"/>
    <x v="0"/>
    <m/>
    <x v="0"/>
    <s v="Potenciales"/>
    <s v="Victor Rios"/>
    <n v="3023510608"/>
    <s v="Cotizacion Unica"/>
    <x v="6"/>
    <m/>
    <m/>
    <s v="Acercamiento"/>
    <x v="2"/>
    <x v="2"/>
    <m/>
    <m/>
    <m/>
    <m/>
    <m/>
  </r>
  <r>
    <s v="Pagina Web"/>
    <d v="2026-04-17T00:00:00"/>
    <d v="1899-12-30T14:58:00"/>
    <d v="2026-04-17T00:00:00"/>
    <d v="1899-12-30T14:58:00"/>
    <x v="0"/>
    <m/>
    <x v="2"/>
    <s v="Proveedor"/>
    <s v="Daniela Morron"/>
    <n v="3159445996"/>
    <s v="Proveedor"/>
    <x v="3"/>
    <m/>
    <m/>
    <s v="Acercamiento"/>
    <x v="2"/>
    <x v="3"/>
    <m/>
    <m/>
    <m/>
    <m/>
    <m/>
  </r>
  <r>
    <s v="Pagina Web"/>
    <d v="2026-02-04T00:00:00"/>
    <d v="1899-12-30T08:00:00"/>
    <d v="2025-02-04T00:00:00"/>
    <d v="1899-12-30T08:00:00"/>
    <x v="2"/>
    <d v="2026-02-09T00:00:00"/>
    <x v="49"/>
    <s v="Potenciales"/>
    <s v="Biocirculo"/>
    <m/>
    <s v="Cotizacion Operacion"/>
    <x v="8"/>
    <s v="Bogotá, Cundinamarca"/>
    <s v="Bogotá, Cundinamarca"/>
    <s v="Cotizacion"/>
    <x v="3"/>
    <x v="4"/>
    <s v="Nuevo Acercamiento Comercial"/>
    <m/>
    <m/>
    <m/>
    <m/>
  </r>
  <r>
    <s v="Pagina Web"/>
    <d v="2026-02-06T00:00:00"/>
    <d v="1899-12-30T08:00:00"/>
    <d v="2025-02-06T00:00:00"/>
    <d v="1899-12-30T08:00:00"/>
    <x v="3"/>
    <d v="2026-02-12T00:00:00"/>
    <x v="50"/>
    <s v="Potenciales"/>
    <s v="Argos"/>
    <m/>
    <s v="Cotizacion Operacion"/>
    <x v="0"/>
    <m/>
    <m/>
    <s v="Cotizacion"/>
    <x v="3"/>
    <x v="5"/>
    <s v="Nuevo Acercamiento Comercial"/>
    <m/>
    <m/>
    <m/>
    <m/>
  </r>
  <r>
    <s v="Pagina Web"/>
    <d v="2026-02-12T00:00:00"/>
    <d v="1899-12-30T08:00:00"/>
    <d v="2025-02-12T00:00:00"/>
    <d v="1899-12-30T08:00:00"/>
    <x v="4"/>
    <d v="2026-02-13T00:00:00"/>
    <x v="51"/>
    <s v="Potenciales"/>
    <s v="Brand Corp"/>
    <m/>
    <s v="Cotizacion Unica"/>
    <x v="0"/>
    <m/>
    <m/>
    <s v="Cotizacion"/>
    <x v="3"/>
    <x v="6"/>
    <s v="Pendiente Aprobacion"/>
    <m/>
    <m/>
    <m/>
    <m/>
  </r>
  <r>
    <s v="Pagina Web"/>
    <d v="2026-02-12T00:00:00"/>
    <d v="1899-12-30T08:00:00"/>
    <d v="2026-02-12T00:00:00"/>
    <d v="1899-12-30T08:00:00"/>
    <x v="4"/>
    <d v="2026-02-13T00:00:00"/>
    <x v="52"/>
    <s v="Potenciales"/>
    <s v="Cruz Roja"/>
    <m/>
    <s v="Cotizacion Unica"/>
    <x v="0"/>
    <s v="Medellin, Antioquia"/>
    <s v="Necocli, Antioquia"/>
    <s v="Cotizacion"/>
    <x v="3"/>
    <x v="7"/>
    <s v="Sin respuesta Lead"/>
    <m/>
    <m/>
    <m/>
    <m/>
  </r>
  <r>
    <s v="Pagina Web"/>
    <d v="2026-02-12T00:00:00"/>
    <d v="1899-12-30T08:00:00"/>
    <d v="2026-02-12T00:00:00"/>
    <d v="1899-12-30T08:00:00"/>
    <x v="4"/>
    <d v="2026-02-17T00:00:00"/>
    <x v="53"/>
    <s v="Potenciales"/>
    <s v="Obycon"/>
    <m/>
    <s v="Cotizacion Operacion"/>
    <x v="0"/>
    <m/>
    <m/>
    <s v="Cotizacion"/>
    <x v="3"/>
    <x v="6"/>
    <s v="Sin respuesta Lead"/>
    <m/>
    <m/>
    <m/>
    <m/>
  </r>
  <r>
    <s v="Correo Electronico"/>
    <d v="2026-02-12T00:00:00"/>
    <d v="1899-12-30T08:00:00"/>
    <d v="2026-02-12T00:00:00"/>
    <d v="1899-12-30T08:00:00"/>
    <x v="4"/>
    <d v="2026-02-17T00:00:00"/>
    <x v="54"/>
    <s v="Potenciales"/>
    <s v="Productos Vicky"/>
    <m/>
    <s v="Cotizacion Operacion"/>
    <x v="0"/>
    <m/>
    <m/>
    <s v="Cotizacion"/>
    <x v="3"/>
    <x v="5"/>
    <s v="Nuevo Acercamiento Comercial"/>
    <m/>
    <m/>
    <m/>
    <m/>
  </r>
  <r>
    <s v="Pagina Web"/>
    <d v="2026-02-13T00:00:00"/>
    <d v="1899-12-30T08:00:00"/>
    <d v="2026-02-13T00:00:00"/>
    <d v="1899-12-30T08:00:00"/>
    <x v="5"/>
    <d v="2026-02-13T00:00:00"/>
    <x v="55"/>
    <s v="Potenciales"/>
    <s v="Humberto Perez "/>
    <m/>
    <s v="Cotizacion Operacion"/>
    <x v="5"/>
    <m/>
    <m/>
    <s v="Cotizacion"/>
    <x v="3"/>
    <x v="8"/>
    <s v="Sin respuesta Lead"/>
    <m/>
    <m/>
    <m/>
    <m/>
  </r>
  <r>
    <s v="Correo Electronico"/>
    <d v="2026-02-14T00:00:00"/>
    <d v="1899-12-30T08:00:00"/>
    <d v="2026-02-14T00:00:00"/>
    <d v="1899-12-30T08:00:00"/>
    <x v="6"/>
    <d v="2026-02-17T00:00:00"/>
    <x v="56"/>
    <s v="Potenciales"/>
    <s v="Cielo Plats"/>
    <m/>
    <s v="Cotizacion Operacion"/>
    <x v="5"/>
    <s v="Buenaventura, Valle del Cauca"/>
    <s v="Bogotá, Cundinamarca"/>
    <s v="Cotizacion"/>
    <x v="3"/>
    <x v="8"/>
    <s v="Sin respuesta Lead"/>
    <m/>
    <m/>
    <m/>
    <m/>
  </r>
  <r>
    <s v="Pagina Web"/>
    <d v="2026-02-26T00:00:00"/>
    <d v="1899-12-30T17:50:00"/>
    <d v="2026-02-27T00:00:00"/>
    <d v="1899-12-30T11:03:00"/>
    <x v="7"/>
    <d v="2026-03-01T00:00:00"/>
    <x v="57"/>
    <s v="Potenciales"/>
    <s v="D Sierra"/>
    <m/>
    <s v="Cotizacion Operacion"/>
    <x v="10"/>
    <m/>
    <m/>
    <s v="Cotizacion"/>
    <x v="4"/>
    <x v="9"/>
    <s v="Enviar al Cliente"/>
    <m/>
    <m/>
    <m/>
    <m/>
  </r>
  <r>
    <s v="Pagina Web"/>
    <d v="2026-02-27T00:00:00"/>
    <d v="1899-12-30T11:23:00"/>
    <d v="2026-02-27T00:00:00"/>
    <d v="1899-12-30T11:37:00"/>
    <x v="7"/>
    <d v="2026-03-02T00:00:00"/>
    <x v="58"/>
    <s v="Potenciales"/>
    <s v="Maxxi Clean"/>
    <m/>
    <s v="Cotizacion Unica"/>
    <x v="0"/>
    <m/>
    <m/>
    <s v="Cotizacion"/>
    <x v="3"/>
    <x v="5"/>
    <s v="Nuevo Acercamiento Comercial"/>
    <m/>
    <m/>
    <s v="No respuesta por parte del cliente"/>
    <m/>
  </r>
  <r>
    <s v="Pagina Web"/>
    <d v="2026-03-02T00:00:00"/>
    <d v="1899-12-30T08:00:00"/>
    <d v="2026-03-17T00:00:00"/>
    <d v="1899-12-30T08:00:00"/>
    <x v="8"/>
    <d v="2026-03-17T00:00:00"/>
    <x v="59"/>
    <s v="Potenciales"/>
    <s v="Promociones Fantasticas"/>
    <m/>
    <s v="Cotizacion Operacion"/>
    <x v="0"/>
    <s v="Bogotá, Cundinamarca"/>
    <s v="Cartagena, Bolivar"/>
    <s v="Cotizacion"/>
    <x v="5"/>
    <x v="4"/>
    <s v="Pendiente Aprobacion"/>
    <n v="10000000"/>
    <m/>
    <m/>
    <m/>
  </r>
  <r>
    <s v="Pagina Web"/>
    <d v="2026-03-02T00:00:00"/>
    <d v="1899-12-30T08:00:00"/>
    <d v="2026-03-02T00:00:00"/>
    <d v="1899-12-30T08:00:00"/>
    <x v="8"/>
    <d v="2026-03-02T00:00:00"/>
    <x v="60"/>
    <s v="Potenciales"/>
    <s v="Salugran"/>
    <m/>
    <s v="Cotizacion Operacion"/>
    <x v="6"/>
    <m/>
    <m/>
    <s v="Cotizacion"/>
    <x v="3"/>
    <x v="10"/>
    <s v="Nuevo Acercamiento Comercial"/>
    <m/>
    <m/>
    <s v="No respuesta por parte del cliente"/>
    <m/>
  </r>
  <r>
    <s v="Pagina Web"/>
    <d v="2026-03-03T00:00:00"/>
    <d v="1899-12-30T11:21:00"/>
    <d v="2026-03-03T00:00:00"/>
    <d v="1899-12-30T11:24:00"/>
    <x v="9"/>
    <d v="2026-03-10T00:00:00"/>
    <x v="61"/>
    <s v="Potenciales"/>
    <s v="Woden"/>
    <m/>
    <s v="Cotizacion Operacion"/>
    <x v="0"/>
    <m/>
    <m/>
    <s v="Cotizacion"/>
    <x v="4"/>
    <x v="11"/>
    <s v="Enviar al Cliente"/>
    <m/>
    <m/>
    <m/>
    <m/>
  </r>
  <r>
    <s v="Pagina Web"/>
    <d v="2026-03-03T00:00:00"/>
    <d v="1899-12-30T07:32:00"/>
    <d v="2026-03-03T00:00:00"/>
    <d v="1899-12-30T10:40:00"/>
    <x v="10"/>
    <d v="2026-03-04T00:00:00"/>
    <x v="62"/>
    <s v="Potenciales"/>
    <s v="Rodvar Metal"/>
    <m/>
    <s v="Cotizacion Operacion"/>
    <x v="0"/>
    <m/>
    <m/>
    <s v="Cotizacion"/>
    <x v="3"/>
    <x v="7"/>
    <s v="Nuevo Acercamiento Comercial"/>
    <m/>
    <m/>
    <s v="No respuesta por parte del cliente"/>
    <m/>
  </r>
  <r>
    <s v="Pagina Web"/>
    <d v="2026-03-04T00:00:00"/>
    <d v="1899-12-30T08:00:00"/>
    <d v="2026-03-09T00:00:00"/>
    <d v="1899-12-30T08:00:00"/>
    <x v="10"/>
    <d v="2026-03-09T00:00:00"/>
    <x v="63"/>
    <s v="Potenciales"/>
    <s v="C&amp;A 6 SIGMA"/>
    <m/>
    <s v="Cotizacion Operacion"/>
    <x v="6"/>
    <m/>
    <m/>
    <s v="Cotizacion"/>
    <x v="3"/>
    <x v="10"/>
    <s v="Nuevo Acercamiento Comercial"/>
    <m/>
    <m/>
    <s v="No respuesta por parte del cliente"/>
    <m/>
  </r>
  <r>
    <s v="Pagina Web"/>
    <d v="2026-03-04T00:00:00"/>
    <d v="1899-12-30T08:00:00"/>
    <d v="2026-03-09T00:00:00"/>
    <d v="1899-12-30T08:00:00"/>
    <x v="10"/>
    <d v="2026-03-09T00:00:00"/>
    <x v="64"/>
    <s v="Potenciales"/>
    <s v="Quimicos Victoria"/>
    <m/>
    <s v="Cotizacion Operacion"/>
    <x v="0"/>
    <m/>
    <m/>
    <s v="Cotizacion"/>
    <x v="3"/>
    <x v="1"/>
    <s v="Nuevo Acercamiento Comercial"/>
    <m/>
    <m/>
    <s v="No respuesta por parte del cliente"/>
    <m/>
  </r>
  <r>
    <s v="Pagina Web"/>
    <d v="2026-03-05T00:00:00"/>
    <d v="1899-12-30T08:00:00"/>
    <d v="2026-04-01T00:00:00"/>
    <d v="1899-12-30T08:00:00"/>
    <x v="11"/>
    <d v="2026-04-01T00:00:00"/>
    <x v="65"/>
    <s v="Potenciales"/>
    <s v="Infinity ingenierìa"/>
    <m/>
    <s v="Cotizacion Operacion"/>
    <x v="5"/>
    <m/>
    <m/>
    <s v="Cotizacion"/>
    <x v="4"/>
    <x v="8"/>
    <s v="Enviar al Cliente"/>
    <m/>
    <m/>
    <m/>
    <m/>
  </r>
  <r>
    <s v="Pagina Web"/>
    <d v="2026-02-27T00:00:00"/>
    <d v="1899-12-30T07:15:00"/>
    <d v="2026-02-27T00:00:00"/>
    <d v="1899-12-30T10:49:00"/>
    <x v="12"/>
    <d v="2026-03-09T00:00:00"/>
    <x v="66"/>
    <s v="Potenciales"/>
    <s v="Aje Colombia"/>
    <m/>
    <s v="Cotizacion Operacion"/>
    <x v="10"/>
    <s v="Bogotá, Cundinamarca"/>
    <s v="Bogotá, Cundinamarca"/>
    <s v="Cotizacion"/>
    <x v="4"/>
    <x v="5"/>
    <s v="Enviar al Cliente"/>
    <m/>
    <m/>
    <m/>
    <m/>
  </r>
  <r>
    <s v="Pagina Web"/>
    <d v="2026-03-06T00:00:00"/>
    <d v="1899-12-30T08:00:00"/>
    <d v="2026-03-10T00:00:00"/>
    <d v="1899-12-30T08:00:00"/>
    <x v="12"/>
    <d v="2026-03-10T00:00:00"/>
    <x v="67"/>
    <s v="Potenciales"/>
    <s v="Escuela de aviacion"/>
    <m/>
    <s v="Cotizacion Unica"/>
    <x v="0"/>
    <s v="Medellin, Antioquia"/>
    <s v="Cali, Valle del Cauca"/>
    <s v="Cotizacion"/>
    <x v="4"/>
    <x v="8"/>
    <s v="Enviar al Cliente"/>
    <m/>
    <m/>
    <m/>
    <m/>
  </r>
  <r>
    <s v="Pagina Web"/>
    <d v="2026-03-06T00:00:00"/>
    <d v="1899-12-30T08:00:00"/>
    <d v="2026-03-26T00:00:00"/>
    <d v="1899-12-30T08:00:00"/>
    <x v="12"/>
    <d v="2026-03-26T00:00:00"/>
    <x v="68"/>
    <s v="Potenciales"/>
    <s v="DITAR"/>
    <m/>
    <s v="Cotizacion Operacion"/>
    <x v="0"/>
    <m/>
    <m/>
    <s v="Cotizacion"/>
    <x v="5"/>
    <x v="5"/>
    <s v="Pendiente Aprobacion"/>
    <n v="100000000"/>
    <s v="Mes"/>
    <m/>
    <m/>
  </r>
  <r>
    <s v="Pagina Web"/>
    <d v="2026-03-06T00:00:00"/>
    <d v="1899-12-30T08:00:00"/>
    <d v="2026-03-16T00:00:00"/>
    <d v="1899-12-30T08:00:00"/>
    <x v="12"/>
    <d v="2026-03-16T00:00:00"/>
    <x v="69"/>
    <s v="Potenciales"/>
    <s v="Produced Water EcoServices"/>
    <m/>
    <s v="Cotizacion Operacion"/>
    <x v="0"/>
    <m/>
    <m/>
    <s v="Cotizacion"/>
    <x v="3"/>
    <x v="1"/>
    <s v="Nuevo Acercamiento Comercial"/>
    <m/>
    <m/>
    <s v="No respuesta por parte del cliente"/>
    <m/>
  </r>
  <r>
    <s v="Pagina Web"/>
    <d v="2026-03-09T00:00:00"/>
    <d v="1899-12-30T08:00:00"/>
    <d v="2026-03-09T00:00:00"/>
    <d v="1899-12-30T08:00:00"/>
    <x v="13"/>
    <d v="2026-03-09T00:00:00"/>
    <x v="70"/>
    <s v="Potenciales"/>
    <s v="Bycsa"/>
    <m/>
    <s v="Cotizacion Operacion"/>
    <x v="5"/>
    <m/>
    <m/>
    <s v="Cotizacion"/>
    <x v="6"/>
    <x v="1"/>
    <s v="Inicio de operación"/>
    <m/>
    <m/>
    <m/>
    <m/>
  </r>
  <r>
    <s v="Pagina Web"/>
    <d v="2026-03-09T00:00:00"/>
    <d v="1899-12-30T16:22:00"/>
    <d v="2026-03-09T00:00:00"/>
    <d v="1899-12-30T16:24:00"/>
    <x v="13"/>
    <d v="2026-03-11T00:00:00"/>
    <x v="71"/>
    <s v="Potenciales"/>
    <s v="Erick"/>
    <m/>
    <s v="Cotizacion Unica"/>
    <x v="0"/>
    <m/>
    <m/>
    <s v="Cotizacion"/>
    <x v="4"/>
    <x v="12"/>
    <s v="Enviar al Cliente"/>
    <m/>
    <m/>
    <m/>
    <m/>
  </r>
  <r>
    <s v="Pagina Web"/>
    <d v="2026-03-09T00:00:00"/>
    <d v="1899-12-30T08:00:00"/>
    <d v="2026-03-26T00:00:00"/>
    <d v="1899-12-30T08:00:00"/>
    <x v="13"/>
    <d v="2026-03-26T00:00:00"/>
    <x v="72"/>
    <s v="Potenciales"/>
    <s v="Jamonería Suisa S.A.S"/>
    <m/>
    <s v="Cotizacion Operacion"/>
    <x v="10"/>
    <m/>
    <m/>
    <s v="Cotizacion"/>
    <x v="4"/>
    <x v="13"/>
    <s v="Enviar al Cliente"/>
    <m/>
    <m/>
    <m/>
    <m/>
  </r>
  <r>
    <s v="Pagina Web"/>
    <d v="2026-03-09T00:00:00"/>
    <d v="1899-12-30T08:00:00"/>
    <d v="2026-03-11T00:00:00"/>
    <d v="1899-12-30T08:00:00"/>
    <x v="13"/>
    <d v="2026-03-11T00:00:00"/>
    <x v="73"/>
    <s v="Potenciales"/>
    <s v="Madeformas"/>
    <m/>
    <s v="Cotizacion Operacion"/>
    <x v="0"/>
    <m/>
    <m/>
    <s v="Cotizacion"/>
    <x v="4"/>
    <x v="11"/>
    <s v="Enviar al Cliente"/>
    <m/>
    <m/>
    <m/>
    <m/>
  </r>
  <r>
    <s v="Pagina Web"/>
    <d v="2026-03-09T00:00:00"/>
    <d v="1899-12-30T08:00:00"/>
    <d v="2026-03-17T00:00:00"/>
    <d v="1899-12-30T08:00:00"/>
    <x v="13"/>
    <d v="2026-03-17T00:00:00"/>
    <x v="74"/>
    <s v="Potenciales"/>
    <s v="Quantics Global SAS"/>
    <m/>
    <s v="Cotizacion Operacion"/>
    <x v="0"/>
    <m/>
    <m/>
    <s v="Cotizacion"/>
    <x v="3"/>
    <x v="1"/>
    <s v="Nuevo Acercamiento Comercial"/>
    <m/>
    <m/>
    <s v="No respuesta por parte del cliente"/>
    <m/>
  </r>
  <r>
    <s v="Correo Electronico"/>
    <d v="2026-03-13T00:00:00"/>
    <d v="1899-12-30T08:00:00"/>
    <d v="2026-03-19T00:00:00"/>
    <d v="1899-12-30T08:00:00"/>
    <x v="14"/>
    <d v="2026-04-20T00:00:00"/>
    <x v="75"/>
    <s v="En Desarrollo"/>
    <s v="Familia"/>
    <m/>
    <s v="Cotizacion Operacion"/>
    <x v="5"/>
    <s v="Buenaventura, Valle del Cauca"/>
    <s v="Guachené, Cauca"/>
    <s v="Cotizacion"/>
    <x v="5"/>
    <x v="2"/>
    <s v="Pendiente Aprobacion"/>
    <m/>
    <m/>
    <m/>
    <m/>
  </r>
  <r>
    <s v="Pagina Web"/>
    <d v="2026-03-14T00:00:00"/>
    <d v="1899-12-30T08:00:00"/>
    <d v="2026-03-16T00:00:00"/>
    <d v="1899-12-30T08:00:00"/>
    <x v="15"/>
    <d v="2026-03-16T00:00:00"/>
    <x v="76"/>
    <s v="Potenciales"/>
    <s v="COMPAS"/>
    <m/>
    <s v="Cotizacion Operacion"/>
    <x v="5"/>
    <m/>
    <m/>
    <s v="Cotizacion"/>
    <x v="4"/>
    <x v="8"/>
    <s v="Enviar al Cliente"/>
    <m/>
    <m/>
    <m/>
    <m/>
  </r>
  <r>
    <s v="Pagina Web"/>
    <d v="2026-03-18T00:00:00"/>
    <d v="1899-12-30T10:25:00"/>
    <d v="2026-03-19T00:00:00"/>
    <d v="1899-12-30T12:20:00"/>
    <x v="16"/>
    <d v="2026-03-21T00:00:00"/>
    <x v="77"/>
    <s v="Potenciales"/>
    <s v="Alexander Montealegre"/>
    <m/>
    <s v="Cotizacion Unica"/>
    <x v="5"/>
    <m/>
    <m/>
    <s v="Cotizacion"/>
    <x v="4"/>
    <x v="5"/>
    <s v="Enviar al Cliente"/>
    <m/>
    <m/>
    <m/>
    <m/>
  </r>
  <r>
    <s v="Pagina Web"/>
    <d v="2026-03-24T00:00:00"/>
    <d v="1899-12-30T11:12:00"/>
    <d v="2026-03-24T00:00:00"/>
    <d v="1899-12-30T15:00:00"/>
    <x v="1"/>
    <d v="2026-03-25T00:00:00"/>
    <x v="78"/>
    <s v="Potenciales"/>
    <s v="Tienda de helados"/>
    <m/>
    <s v="Cotizacion Unica"/>
    <x v="0"/>
    <m/>
    <m/>
    <s v="Cotizacion"/>
    <x v="3"/>
    <x v="1"/>
    <s v="Sin respuesta Lead"/>
    <m/>
    <m/>
    <s v="No respuesta por parte del cliente"/>
    <m/>
  </r>
  <r>
    <s v="Pagina Web"/>
    <d v="2026-03-17T00:00:00"/>
    <d v="1899-12-30T11:00:00"/>
    <d v="2026-03-25T00:00:00"/>
    <d v="1899-12-30T15:40:00"/>
    <x v="17"/>
    <d v="2026-03-27T00:00:00"/>
    <x v="79"/>
    <s v="Potenciales"/>
    <s v="Aliños la Pureza"/>
    <m/>
    <s v="Cotizacion Operacion"/>
    <x v="10"/>
    <m/>
    <m/>
    <s v="Cotizacion"/>
    <x v="4"/>
    <x v="12"/>
    <s v="Enviar al Cliente"/>
    <m/>
    <m/>
    <m/>
    <m/>
  </r>
  <r>
    <s v="Pagina Web"/>
    <d v="2026-03-16T00:00:00"/>
    <d v="1899-12-30T13:40:00"/>
    <d v="2026-03-25T00:00:00"/>
    <d v="1899-12-30T15:49:00"/>
    <x v="18"/>
    <d v="2026-03-26T00:00:00"/>
    <x v="80"/>
    <s v="Potenciales"/>
    <s v="Expo Sucre"/>
    <m/>
    <s v="Cotizacion Unica"/>
    <x v="7"/>
    <m/>
    <m/>
    <s v="Cotizacion"/>
    <x v="4"/>
    <x v="5"/>
    <s v="Enviar al Cliente"/>
    <m/>
    <m/>
    <m/>
    <m/>
  </r>
  <r>
    <s v="Pagina Web"/>
    <d v="2026-03-18T00:00:00"/>
    <d v="1899-12-30T16:09:00"/>
    <d v="2026-03-18T00:00:00"/>
    <d v="1899-12-30T16:09:00"/>
    <x v="18"/>
    <d v="2026-03-26T00:00:00"/>
    <x v="81"/>
    <s v="Potenciales"/>
    <s v="Natalia Ramirez"/>
    <m/>
    <s v="Cotizacion Operacion"/>
    <x v="0"/>
    <m/>
    <m/>
    <s v="Cotizacion"/>
    <x v="4"/>
    <x v="5"/>
    <s v="Enviar al Cliente"/>
    <m/>
    <m/>
    <m/>
    <m/>
  </r>
  <r>
    <s v="Pagina Web"/>
    <d v="2026-03-16T00:00:00"/>
    <d v="1899-12-30T14:34:00"/>
    <d v="2026-03-25T00:00:00"/>
    <d v="1899-12-30T15:49:00"/>
    <x v="18"/>
    <d v="2026-03-26T00:00:00"/>
    <x v="82"/>
    <s v="Potenciales"/>
    <s v="SOMATEC"/>
    <m/>
    <s v="Cotizacion Unica"/>
    <x v="5"/>
    <m/>
    <m/>
    <s v="Cotizacion"/>
    <x v="3"/>
    <x v="1"/>
    <s v="Sin respuesta Lead"/>
    <m/>
    <m/>
    <m/>
    <m/>
  </r>
  <r>
    <s v="Pagina Web"/>
    <d v="2026-03-26T00:00:00"/>
    <d v="1899-12-30T13:07:00"/>
    <d v="2026-03-26T00:00:00"/>
    <d v="1899-12-30T13:07:00"/>
    <x v="18"/>
    <d v="2026-03-26T00:00:00"/>
    <x v="83"/>
    <s v="Potenciales"/>
    <s v="Agro Sasevi"/>
    <m/>
    <s v="Cotizacion Unica"/>
    <x v="0"/>
    <m/>
    <m/>
    <s v="Cotizacion"/>
    <x v="3"/>
    <x v="10"/>
    <s v="Nuevo Acercamiento Comercial"/>
    <m/>
    <m/>
    <s v="Sin cobertura"/>
    <m/>
  </r>
  <r>
    <s v="Pagina Web"/>
    <d v="2026-03-26T00:00:00"/>
    <d v="1899-12-30T08:50:00"/>
    <d v="2026-03-26T00:00:00"/>
    <d v="1899-12-30T09:36:00"/>
    <x v="18"/>
    <d v="2026-03-26T00:00:00"/>
    <x v="84"/>
    <s v="Potenciales"/>
    <s v="TIBA"/>
    <m/>
    <s v="Cotizacion Unica"/>
    <x v="0"/>
    <m/>
    <m/>
    <s v="Cotizacion"/>
    <x v="3"/>
    <x v="10"/>
    <s v="Nuevo Acercamiento Comercial"/>
    <m/>
    <m/>
    <s v="Sin cobertura"/>
    <m/>
  </r>
  <r>
    <s v="Pagina Web"/>
    <d v="2026-03-05T00:00:00"/>
    <d v="1899-12-30T09:04:00"/>
    <d v="2026-03-05T00:00:00"/>
    <d v="1899-12-30T09:34:00"/>
    <x v="19"/>
    <d v="2026-04-01T00:00:00"/>
    <x v="85"/>
    <s v="Potenciales"/>
    <s v="M&amp;C Cargo"/>
    <m/>
    <s v="Cotizacion Operacion"/>
    <x v="6"/>
    <m/>
    <m/>
    <s v="Cotizacion"/>
    <x v="5"/>
    <x v="14"/>
    <s v="Enviar al Cliente"/>
    <n v="30000000"/>
    <s v="Mes"/>
    <m/>
    <m/>
  </r>
  <r>
    <s v="Pagina Web"/>
    <d v="2026-03-31T00:00:00"/>
    <d v="1899-12-30T12:06:00"/>
    <d v="2026-03-31T00:00:00"/>
    <d v="1899-12-30T12:45:00"/>
    <x v="20"/>
    <d v="2026-04-01T00:00:00"/>
    <x v="86"/>
    <s v="Potenciales"/>
    <s v="Sebastian Carpago"/>
    <m/>
    <s v="Cotizacion Operacion"/>
    <x v="0"/>
    <m/>
    <m/>
    <s v="Cotizacion"/>
    <x v="4"/>
    <x v="12"/>
    <s v="Enviar al Cliente"/>
    <m/>
    <m/>
    <m/>
    <m/>
  </r>
  <r>
    <s v="Pagina Web"/>
    <d v="2026-03-31T00:00:00"/>
    <d v="1899-12-30T08:00:00"/>
    <d v="2026-03-31T00:00:00"/>
    <d v="1899-12-30T08:00:00"/>
    <x v="20"/>
    <d v="2026-04-08T00:00:00"/>
    <x v="87"/>
    <s v="Potenciales"/>
    <s v="Forexcargo"/>
    <m/>
    <s v="Cotizacion Operacion"/>
    <x v="0"/>
    <m/>
    <m/>
    <s v="Cotizacion"/>
    <x v="4"/>
    <x v="15"/>
    <s v="Enviar al Cliente"/>
    <m/>
    <m/>
    <m/>
    <m/>
  </r>
  <r>
    <s v="Pagina Web"/>
    <d v="2026-03-31T00:00:00"/>
    <d v="1899-12-30T08:15:00"/>
    <d v="2026-03-31T00:00:00"/>
    <d v="1899-12-30T08:26:00"/>
    <x v="20"/>
    <d v="2026-03-31T00:00:00"/>
    <x v="88"/>
    <s v="Potenciales"/>
    <s v="Neolitico"/>
    <m/>
    <s v="Cotizacion Unica"/>
    <x v="0"/>
    <m/>
    <m/>
    <s v="Cotizacion"/>
    <x v="3"/>
    <x v="10"/>
    <s v="Nuevo Acercamiento Comercial"/>
    <m/>
    <m/>
    <s v="Sin cobertura"/>
    <m/>
  </r>
  <r>
    <s v="Pagina Web"/>
    <d v="2026-03-30T00:00:00"/>
    <d v="1899-12-30T12:27:00"/>
    <d v="2026-03-30T00:00:00"/>
    <d v="1899-12-30T13:35:00"/>
    <x v="21"/>
    <d v="2026-04-01T00:00:00"/>
    <x v="89"/>
    <s v="Potenciales"/>
    <s v="Alma Logistica "/>
    <m/>
    <s v="Cotizacion Unica"/>
    <x v="0"/>
    <m/>
    <m/>
    <s v="Cotizacion"/>
    <x v="4"/>
    <x v="6"/>
    <s v="Enviar al Cliente"/>
    <m/>
    <m/>
    <m/>
    <m/>
  </r>
  <r>
    <s v="Pagina Web"/>
    <d v="2026-03-31T00:00:00"/>
    <d v="1899-12-30T10:44:00"/>
    <d v="2026-03-31T00:00:00"/>
    <d v="1899-12-30T11:36:00"/>
    <x v="21"/>
    <d v="2026-04-04T00:00:00"/>
    <x v="90"/>
    <s v="Potenciales"/>
    <s v="Carlos Torres"/>
    <s v="312 2905289"/>
    <s v="Cotizacion Unica"/>
    <x v="0"/>
    <m/>
    <m/>
    <s v="Cotizacion"/>
    <x v="5"/>
    <x v="1"/>
    <s v="Seguimiento al cliente"/>
    <m/>
    <m/>
    <m/>
    <m/>
  </r>
  <r>
    <s v="Pagina Web"/>
    <d v="2026-04-01T00:00:00"/>
    <d v="1899-12-30T08:00:00"/>
    <d v="2026-04-06T00:00:00"/>
    <d v="1899-12-30T08:00:00"/>
    <x v="21"/>
    <d v="2026-04-06T00:00:00"/>
    <x v="91"/>
    <s v="Potenciales"/>
    <s v="Amanda"/>
    <s v="313 3334774"/>
    <s v="Cotizacion Operacion"/>
    <x v="0"/>
    <s v="Valle del cauca"/>
    <s v="Nacional"/>
    <s v="Cotizacion"/>
    <x v="4"/>
    <x v="7"/>
    <s v="Enviar al Cliente"/>
    <m/>
    <m/>
    <m/>
    <m/>
  </r>
  <r>
    <s v="Pagina Web"/>
    <d v="2026-04-08T00:00:00"/>
    <d v="1899-12-30T08:00:00"/>
    <d v="2026-04-08T00:00:00"/>
    <d v="1899-12-30T08:00:00"/>
    <x v="22"/>
    <d v="2026-04-08T00:00:00"/>
    <x v="92"/>
    <s v="Potenciales"/>
    <s v="Juan Luengas"/>
    <m/>
    <s v="Cotizacion Operacion"/>
    <x v="0"/>
    <m/>
    <m/>
    <s v="Cotizacion"/>
    <x v="6"/>
    <x v="1"/>
    <s v="Documentacion"/>
    <m/>
    <m/>
    <m/>
    <m/>
  </r>
  <r>
    <s v="Pagina Web"/>
    <d v="2026-04-01T00:00:00"/>
    <d v="1899-12-30T11:57:00"/>
    <d v="2026-04-01T00:00:00"/>
    <d v="1899-12-30T11:57:00"/>
    <x v="22"/>
    <d v="2026-04-09T00:00:00"/>
    <x v="93"/>
    <s v="Potenciales"/>
    <s v="Pulpo Chileno"/>
    <m/>
    <s v="Cotizacion Operacion"/>
    <x v="0"/>
    <m/>
    <m/>
    <s v="Cotizacion"/>
    <x v="3"/>
    <x v="5"/>
    <s v="Tiempo de respuesta"/>
    <m/>
    <m/>
    <m/>
    <m/>
  </r>
  <r>
    <s v="Pagina Web"/>
    <d v="2026-04-07T00:00:00"/>
    <d v="1899-12-30T13:00:00"/>
    <d v="2026-04-08T00:00:00"/>
    <d v="1899-12-30T10:31:00"/>
    <x v="22"/>
    <d v="2026-04-08T00:00:00"/>
    <x v="94"/>
    <s v="Potenciales"/>
    <s v="Logistica Super Ceramic"/>
    <m/>
    <s v="Cotizacion Operacion"/>
    <x v="0"/>
    <m/>
    <m/>
    <s v="Cotizacion"/>
    <x v="3"/>
    <x v="1"/>
    <s v="Sin respuesta Lead"/>
    <m/>
    <m/>
    <m/>
    <m/>
  </r>
  <r>
    <s v="Pagina Web"/>
    <d v="2026-04-10T00:00:00"/>
    <d v="1899-12-30T08:00:00"/>
    <d v="2026-04-13T00:00:00"/>
    <d v="1899-12-30T08:00:00"/>
    <x v="23"/>
    <d v="2026-04-13T00:00:00"/>
    <x v="95"/>
    <s v="Potenciales"/>
    <s v="Vision Sport"/>
    <m/>
    <s v="Cotizacion Operacion"/>
    <x v="0"/>
    <m/>
    <m/>
    <s v="Cotizacion"/>
    <x v="5"/>
    <x v="1"/>
    <s v="Pendiente Aprobacion"/>
    <n v="16500000"/>
    <s v="Unico"/>
    <m/>
    <m/>
  </r>
  <r>
    <s v="Pagina Web"/>
    <d v="2026-04-11T00:00:00"/>
    <d v="1899-12-30T09:55:00"/>
    <d v="2026-04-11T00:00:00"/>
    <d v="1899-12-30T09:55:00"/>
    <x v="24"/>
    <d v="2026-04-15T00:00:00"/>
    <x v="96"/>
    <s v="Potenciales"/>
    <s v="Diego Salazar"/>
    <n v="3107877029"/>
    <s v="Cotizacion Operacion"/>
    <x v="0"/>
    <s v="Cartagena, Bolivar"/>
    <s v="Yopal, Casanare"/>
    <s v="Cotizacion"/>
    <x v="6"/>
    <x v="2"/>
    <s v="Documentacion"/>
    <n v="228000000"/>
    <s v="Semanal"/>
    <m/>
    <m/>
  </r>
  <r>
    <s v="Pagina Web"/>
    <d v="2026-04-14T00:00:00"/>
    <d v="1899-12-30T09:52:00"/>
    <d v="2026-04-14T00:00:00"/>
    <d v="1899-12-30T09:52:00"/>
    <x v="25"/>
    <d v="2026-04-14T00:00:00"/>
    <x v="97"/>
    <s v="Potenciales"/>
    <s v="Cristian Arias"/>
    <n v="3136840184"/>
    <s v="Cotizacion Unica"/>
    <x v="6"/>
    <s v="Bogotá, Cundinamarca"/>
    <m/>
    <s v="Cotizacion"/>
    <x v="5"/>
    <x v="2"/>
    <s v="Seguimiento al cliente"/>
    <n v="15000000"/>
    <s v="Mes"/>
    <m/>
    <m/>
  </r>
  <r>
    <s v="Pagina Web"/>
    <d v="2026-04-13T00:00:00"/>
    <d v="1899-12-30T10:32:00"/>
    <d v="2026-04-13T00:00:00"/>
    <d v="1899-12-30T10:50:00"/>
    <x v="26"/>
    <d v="2026-04-13T00:00:00"/>
    <x v="98"/>
    <s v="Potenciales"/>
    <s v="Eyda Rueda"/>
    <n v="3117444245"/>
    <s v="Cotizacion Unica"/>
    <x v="0"/>
    <s v="El Retiro, Antioquia"/>
    <s v="Cartagena, Bolivar"/>
    <s v="Cotizacion"/>
    <x v="5"/>
    <x v="16"/>
    <s v="Pendiente Aprobacion"/>
    <n v="6340000"/>
    <s v="Mes"/>
    <m/>
    <m/>
  </r>
  <r>
    <s v="Pagina Web"/>
    <d v="2026-04-14T00:00:00"/>
    <d v="1899-12-30T12:42:00"/>
    <d v="2026-04-14T00:00:00"/>
    <d v="1899-12-30T12:42:00"/>
    <x v="25"/>
    <m/>
    <x v="99"/>
    <s v="Potenciales"/>
    <s v="Dayanna"/>
    <n v="3242878798"/>
    <s v="Cotizacion Unica"/>
    <x v="8"/>
    <s v="Mosquera, Cundinamarca"/>
    <s v="Bogotá, Cundinamarca"/>
    <s v="Cotizacion"/>
    <x v="1"/>
    <x v="2"/>
    <m/>
    <m/>
    <m/>
    <m/>
    <m/>
  </r>
  <r>
    <s v="Pagina Web"/>
    <d v="2026-03-09T00:00:00"/>
    <d v="1899-12-30T07:18:00"/>
    <d v="2026-03-09T00:00:00"/>
    <d v="1899-12-30T11:49:00"/>
    <x v="13"/>
    <d v="2026-04-10T00:00:00"/>
    <x v="100"/>
    <s v="Potenciales"/>
    <s v="Fernando Arevalo Licores"/>
    <m/>
    <s v="Cotizacion Unica"/>
    <x v="0"/>
    <s v="Cartagena, Bolivar"/>
    <s v="Cali"/>
    <s v="Cotizacion"/>
    <x v="3"/>
    <x v="1"/>
    <s v="Sin respuesta Lead"/>
    <m/>
    <m/>
    <m/>
    <m/>
  </r>
  <r>
    <s v="Pagina Web"/>
    <d v="2026-03-19T00:00:00"/>
    <d v="1899-12-30T16:09:00"/>
    <d v="2026-03-20T00:00:00"/>
    <d v="1899-12-30T11:09:00"/>
    <x v="27"/>
    <d v="2026-03-25T00:00:00"/>
    <x v="101"/>
    <s v="Potenciales"/>
    <s v="Deisy Garcia"/>
    <m/>
    <s v="Cotizacion Operacion"/>
    <x v="0"/>
    <m/>
    <m/>
    <s v="Cotizacion"/>
    <x v="3"/>
    <x v="1"/>
    <s v="Nuevo Acercamiento Comercial"/>
    <m/>
    <m/>
    <s v="No respuesta por parte del cliente"/>
    <m/>
  </r>
  <r>
    <s v="Correo Electronico"/>
    <d v="2026-03-03T00:00:00"/>
    <d v="1899-12-30T08:00:00"/>
    <d v="2026-03-17T00:00:00"/>
    <d v="1899-12-30T08:00:00"/>
    <x v="9"/>
    <d v="2026-03-17T00:00:00"/>
    <x v="102"/>
    <s v="Potenciales"/>
    <s v="Esenttia"/>
    <m/>
    <s v="Cotizacion Operacion"/>
    <x v="12"/>
    <m/>
    <m/>
    <s v="Inicio de operación"/>
    <x v="7"/>
    <x v="4"/>
    <s v="Inicio de operación"/>
    <m/>
    <m/>
    <m/>
    <m/>
  </r>
  <r>
    <s v="Correo Electronico"/>
    <d v="2026-03-10T00:00:00"/>
    <d v="1899-12-30T08:00:00"/>
    <d v="2025-03-23T00:00:00"/>
    <d v="1899-12-30T08:00:00"/>
    <x v="28"/>
    <d v="2025-03-23T00:00:00"/>
    <x v="103"/>
    <s v="En Desarrollo"/>
    <s v="Alimentos Polar"/>
    <m/>
    <s v="Cotizacion Operacion"/>
    <x v="0"/>
    <s v="Bogotá, Cundinamarca"/>
    <s v="Cartagena, Bolivar"/>
    <s v="Inicio de operación"/>
    <x v="7"/>
    <x v="4"/>
    <s v="No aplica"/>
    <m/>
    <m/>
    <m/>
    <m/>
  </r>
  <r>
    <s v="Pagina Web"/>
    <d v="2026-03-19T00:00:00"/>
    <d v="1899-12-30T08:00:00"/>
    <d v="2026-03-25T00:00:00"/>
    <d v="1899-12-30T08:00:00"/>
    <x v="16"/>
    <d v="2026-03-25T00:00:00"/>
    <x v="104"/>
    <s v="Potenciales"/>
    <s v="Meico"/>
    <m/>
    <s v="Cotizacion Operacion"/>
    <x v="0"/>
    <m/>
    <m/>
    <s v="Licitacion"/>
    <x v="5"/>
    <x v="1"/>
    <s v="Pendiente Aprobacion"/>
    <n v="100000000"/>
    <s v="Mes"/>
    <m/>
    <m/>
  </r>
  <r>
    <s v="Correo Electronico"/>
    <d v="2026-02-06T00:00:00"/>
    <d v="1899-12-30T08:00:00"/>
    <d v="2026-02-06T00:00:00"/>
    <d v="1899-12-30T08:00:00"/>
    <x v="3"/>
    <d v="2026-03-31T00:00:00"/>
    <x v="105"/>
    <s v="Potenciales"/>
    <s v="D1"/>
    <m/>
    <s v="Cotizacion Operacion"/>
    <x v="0"/>
    <m/>
    <m/>
    <s v="Negociacion"/>
    <x v="4"/>
    <x v="5"/>
    <s v="Enviar negociación"/>
    <m/>
    <m/>
    <m/>
    <m/>
  </r>
  <r>
    <s v="Pagina Web"/>
    <d v="2026-03-03T00:00:00"/>
    <d v="1899-12-30T10:38:00"/>
    <d v="2026-03-03T00:00:00"/>
    <d v="1899-12-30T11:23:00"/>
    <x v="26"/>
    <d v="2026-03-16T00:00:00"/>
    <x v="106"/>
    <s v="Potenciales"/>
    <s v="Sandra Ortiz"/>
    <n v="3102118382"/>
    <s v="Cotizacion Operacion"/>
    <x v="0"/>
    <s v="Bogotá, Cundinamarca"/>
    <m/>
    <s v="Negociacion"/>
    <x v="5"/>
    <x v="9"/>
    <s v="Pendiente Aprobacion"/>
    <n v="46500000"/>
    <s v="Mes"/>
    <m/>
    <m/>
  </r>
  <r>
    <s v="Pagina Web"/>
    <d v="2026-03-09T00:00:00"/>
    <d v="1899-12-30T08:00:00"/>
    <d v="2026-03-09T00:00:00"/>
    <d v="1899-12-30T08:00:00"/>
    <x v="13"/>
    <d v="2026-03-09T00:00:00"/>
    <x v="70"/>
    <s v="Potenciales"/>
    <s v="Bycsa"/>
    <m/>
    <s v="Cotizacion Operacion"/>
    <x v="0"/>
    <m/>
    <m/>
    <s v="Negociacion"/>
    <x v="5"/>
    <x v="1"/>
    <s v="Pendiente Aprobacion"/>
    <n v="50000000"/>
    <s v="Mes"/>
    <m/>
    <m/>
  </r>
  <r>
    <s v="Pagina Web"/>
    <d v="2026-03-09T00:00:00"/>
    <d v="1899-12-30T08:00:00"/>
    <d v="2026-03-17T00:00:00"/>
    <d v="1899-12-30T08:00:00"/>
    <x v="13"/>
    <d v="2026-03-17T00:00:00"/>
    <x v="107"/>
    <s v="Potenciales"/>
    <s v="Guigo"/>
    <m/>
    <s v="Cotizacion Operacion"/>
    <x v="0"/>
    <m/>
    <m/>
    <s v="Negociacion"/>
    <x v="3"/>
    <x v="1"/>
    <s v="Nuevo Acercamiento Comercial"/>
    <m/>
    <m/>
    <s v="No respuesta por parte del cliente"/>
    <m/>
  </r>
  <r>
    <s v="Correo Electronico"/>
    <d v="2026-03-13T00:00:00"/>
    <d v="1899-12-30T08:00:00"/>
    <d v="2026-03-19T00:00:00"/>
    <d v="1899-12-30T08:00:00"/>
    <x v="14"/>
    <d v="2026-04-20T00:00:00"/>
    <x v="75"/>
    <s v="En Desarrollo"/>
    <s v="Familia"/>
    <m/>
    <s v="Cotizacion Operacion"/>
    <x v="11"/>
    <s v="Guachené, Cauca"/>
    <s v="Buenaventura, Valle del Cauca"/>
    <s v="Cotizacion"/>
    <x v="5"/>
    <x v="2"/>
    <s v="Pendiente Aprobacion"/>
    <m/>
    <m/>
    <m/>
    <m/>
  </r>
  <r>
    <s v="Licitación"/>
    <d v="2026-03-30T00:00:00"/>
    <d v="1899-12-30T08:00:00"/>
    <d v="2026-03-31T00:00:00"/>
    <d v="1899-12-30T08:00:00"/>
    <x v="19"/>
    <d v="2026-03-31T00:00:00"/>
    <x v="108"/>
    <s v="Potenciales"/>
    <s v="Pintuco"/>
    <m/>
    <s v="Cotizacion Operacion"/>
    <x v="0"/>
    <m/>
    <m/>
    <s v="Negociacion"/>
    <x v="5"/>
    <x v="1"/>
    <m/>
    <n v="800000000"/>
    <s v="Mes"/>
    <m/>
    <m/>
  </r>
  <r>
    <s v="Pagina Web"/>
    <d v="2026-04-15T00:00:00"/>
    <d v="1899-12-30T12:11:00"/>
    <d v="2026-04-16T00:00:00"/>
    <d v="1899-12-30T15:38:00"/>
    <x v="0"/>
    <m/>
    <x v="0"/>
    <m/>
    <m/>
    <n v="3229490905"/>
    <m/>
    <x v="9"/>
    <m/>
    <m/>
    <m/>
    <x v="0"/>
    <x v="0"/>
    <m/>
    <m/>
    <m/>
    <m/>
    <m/>
  </r>
  <r>
    <s v="Pagina Web"/>
    <d v="2026-04-15T00:00:00"/>
    <d v="1899-12-30T18:40:00"/>
    <d v="2026-04-16T00:00:00"/>
    <d v="1899-12-30T16:30:00"/>
    <x v="0"/>
    <m/>
    <x v="0"/>
    <m/>
    <m/>
    <s v="321 9779275"/>
    <m/>
    <x v="9"/>
    <m/>
    <m/>
    <m/>
    <x v="0"/>
    <x v="0"/>
    <m/>
    <m/>
    <m/>
    <m/>
    <m/>
  </r>
  <r>
    <s v="Pagina Web"/>
    <d v="2026-04-20T00:00:00"/>
    <d v="1899-12-30T10:44:00"/>
    <d v="2026-04-20T00:00:00"/>
    <d v="1899-12-30T11:12:00"/>
    <x v="0"/>
    <m/>
    <x v="2"/>
    <s v="Potenciales"/>
    <s v="Rosa"/>
    <s v="300 5191966"/>
    <s v="Cotizacion Unica"/>
    <x v="2"/>
    <m/>
    <m/>
    <m/>
    <x v="0"/>
    <x v="0"/>
    <m/>
    <m/>
    <m/>
    <m/>
    <m/>
  </r>
  <r>
    <s v="Correo"/>
    <d v="2026-04-10T00:00:00"/>
    <d v="1899-12-30T12:00:00"/>
    <d v="2026-04-10T00:00:00"/>
    <d v="1899-12-30T12:00:00"/>
    <x v="0"/>
    <m/>
    <x v="109"/>
    <s v="En Desarrollo"/>
    <s v="Jorge Segrera"/>
    <s v="318 3819512"/>
    <s v="Cotizacion Operacion"/>
    <x v="6"/>
    <s v="Cartagena"/>
    <m/>
    <s v="Cotizacion"/>
    <x v="5"/>
    <x v="2"/>
    <s v="Seguimiento al cliente"/>
    <n v="1000000"/>
    <m/>
    <m/>
    <s v="Alta"/>
  </r>
  <r>
    <s v="Pagina Web"/>
    <d v="2026-04-19T00:00:00"/>
    <d v="1899-12-30T12:51:00"/>
    <d v="2026-04-20T00:00:00"/>
    <d v="1899-12-30T12:51:00"/>
    <x v="0"/>
    <m/>
    <x v="2"/>
    <s v="Proveedor"/>
    <s v="A&amp;V Soluciones integrales"/>
    <s v="320 6185200"/>
    <s v="Proveedor"/>
    <x v="3"/>
    <m/>
    <m/>
    <s v="Acercamiento"/>
    <x v="2"/>
    <x v="17"/>
    <m/>
    <m/>
    <m/>
    <m/>
    <m/>
  </r>
  <r>
    <s v="Pagina Web "/>
    <d v="2026-04-20T00:00:00"/>
    <d v="1899-12-30T09:26:00"/>
    <d v="2026-04-20T00:00:00"/>
    <d v="1899-12-30T11:57:00"/>
    <x v="0"/>
    <m/>
    <x v="110"/>
    <s v="Potenciales"/>
    <s v="Catalina"/>
    <s v="320 6476570"/>
    <s v="Cotizacion Unica"/>
    <x v="2"/>
    <s v="Medellin"/>
    <s v="Sincelejo"/>
    <s v="Acercamiento"/>
    <x v="2"/>
    <x v="0"/>
    <m/>
    <m/>
    <m/>
    <m/>
    <m/>
  </r>
  <r>
    <s v="Pagina Web "/>
    <d v="2026-04-17T00:00:00"/>
    <d v="1899-12-30T10:21:00"/>
    <d v="2026-04-17T00:00:00"/>
    <d v="1899-12-30T10:21:00"/>
    <x v="0"/>
    <m/>
    <x v="2"/>
    <s v="Afiliado"/>
    <m/>
    <s v="314 4375797"/>
    <m/>
    <x v="9"/>
    <m/>
    <m/>
    <m/>
    <x v="2"/>
    <x v="0"/>
    <m/>
    <m/>
    <m/>
    <m/>
    <m/>
  </r>
  <r>
    <m/>
    <m/>
    <m/>
    <m/>
    <m/>
    <x v="0"/>
    <m/>
    <x v="0"/>
    <m/>
    <m/>
    <m/>
    <m/>
    <x v="9"/>
    <m/>
    <m/>
    <m/>
    <x v="0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91199-660D-426C-9385-E7AF8A153D4E}" name="TablaDinámica1" cacheId="77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6" firstHeaderRow="1" firstDataRow="1" firstDataCol="4" rowPageCount="1" colPageCount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0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28"/>
        <item x="14"/>
        <item x="15"/>
        <item x="16"/>
        <item x="27"/>
        <item x="1"/>
        <item x="17"/>
        <item x="18"/>
        <item x="19"/>
        <item x="20"/>
        <item x="21"/>
        <item x="22"/>
        <item x="23"/>
        <item x="24"/>
        <item x="26"/>
        <item x="25"/>
        <item x="0"/>
        <item t="default"/>
      </items>
    </pivotField>
    <pivotField compact="0" outline="0" showAll="0"/>
    <pivotField axis="axisRow" compact="0" outline="0" showAll="0">
      <items count="112">
        <item x="83"/>
        <item x="44"/>
        <item x="66"/>
        <item x="36"/>
        <item x="31"/>
        <item x="77"/>
        <item x="27"/>
        <item x="103"/>
        <item x="79"/>
        <item x="89"/>
        <item x="33"/>
        <item x="50"/>
        <item x="49"/>
        <item x="51"/>
        <item x="70"/>
        <item x="63"/>
        <item x="37"/>
        <item x="56"/>
        <item x="41"/>
        <item x="76"/>
        <item x="90"/>
        <item x="52"/>
        <item x="57"/>
        <item x="105"/>
        <item x="101"/>
        <item x="96"/>
        <item x="38"/>
        <item x="68"/>
        <item x="13"/>
        <item x="67"/>
        <item x="102"/>
        <item x="80"/>
        <item x="75"/>
        <item x="100"/>
        <item x="4"/>
        <item x="22"/>
        <item x="87"/>
        <item x="97"/>
        <item x="107"/>
        <item x="55"/>
        <item x="29"/>
        <item x="15"/>
        <item x="34"/>
        <item x="65"/>
        <item x="99"/>
        <item x="81"/>
        <item x="14"/>
        <item x="72"/>
        <item x="39"/>
        <item x="12"/>
        <item x="40"/>
        <item x="9"/>
        <item x="6"/>
        <item x="92"/>
        <item x="20"/>
        <item x="18"/>
        <item x="48"/>
        <item x="32"/>
        <item x="21"/>
        <item x="46"/>
        <item x="94"/>
        <item x="10"/>
        <item x="1"/>
        <item x="26"/>
        <item x="85"/>
        <item x="73"/>
        <item x="91"/>
        <item x="3"/>
        <item x="58"/>
        <item x="45"/>
        <item x="104"/>
        <item x="47"/>
        <item x="42"/>
        <item x="88"/>
        <item x="2"/>
        <item x="7"/>
        <item x="53"/>
        <item x="35"/>
        <item x="30"/>
        <item x="108"/>
        <item x="24"/>
        <item x="8"/>
        <item x="69"/>
        <item x="54"/>
        <item x="59"/>
        <item x="93"/>
        <item x="74"/>
        <item x="5"/>
        <item x="64"/>
        <item x="11"/>
        <item x="98"/>
        <item x="62"/>
        <item x="60"/>
        <item x="86"/>
        <item x="16"/>
        <item x="82"/>
        <item x="71"/>
        <item x="28"/>
        <item x="43"/>
        <item x="17"/>
        <item x="25"/>
        <item x="84"/>
        <item x="78"/>
        <item x="23"/>
        <item x="19"/>
        <item x="106"/>
        <item x="95"/>
        <item x="61"/>
        <item x="0"/>
        <item x="109"/>
        <item x="1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6"/>
        <item x="2"/>
        <item x="11"/>
        <item x="5"/>
        <item x="1"/>
        <item x="12"/>
        <item x="4"/>
        <item x="7"/>
        <item x="3"/>
        <item x="0"/>
        <item x="10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9">
        <item h="1" x="6"/>
        <item x="4"/>
        <item h="1" x="5"/>
        <item h="1" x="1"/>
        <item h="1" x="7"/>
        <item h="1" x="2"/>
        <item h="1" x="3"/>
        <item h="1" x="0"/>
        <item t="default"/>
      </items>
    </pivotField>
    <pivotField axis="axisRow" compact="0" outline="0" showAll="0">
      <items count="19">
        <item x="2"/>
        <item x="4"/>
        <item x="13"/>
        <item x="1"/>
        <item x="16"/>
        <item x="14"/>
        <item x="12"/>
        <item x="8"/>
        <item x="9"/>
        <item x="3"/>
        <item x="15"/>
        <item x="11"/>
        <item x="10"/>
        <item x="5"/>
        <item x="7"/>
        <item x="6"/>
        <item x="0"/>
        <item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7"/>
    <field x="12"/>
    <field x="5"/>
    <field x="17"/>
  </rowFields>
  <rowItems count="73">
    <i>
      <x v="2"/>
      <x v="10"/>
      <x v="10"/>
      <x v="13"/>
    </i>
    <i t="default" r="2">
      <x v="10"/>
    </i>
    <i t="default" r="1">
      <x v="10"/>
    </i>
    <i t="default">
      <x v="2"/>
    </i>
    <i>
      <x v="5"/>
      <x v="3"/>
      <x v="15"/>
      <x v="13"/>
    </i>
    <i t="default" r="2">
      <x v="15"/>
    </i>
    <i t="default" r="1">
      <x v="3"/>
    </i>
    <i t="default">
      <x v="5"/>
    </i>
    <i>
      <x v="8"/>
      <x v="10"/>
      <x v="18"/>
      <x v="6"/>
    </i>
    <i t="default" r="2">
      <x v="18"/>
    </i>
    <i t="default" r="1">
      <x v="10"/>
    </i>
    <i t="default">
      <x v="8"/>
    </i>
    <i>
      <x v="9"/>
      <x v="9"/>
      <x v="22"/>
      <x v="15"/>
    </i>
    <i t="default" r="2">
      <x v="22"/>
    </i>
    <i t="default" r="1">
      <x v="9"/>
    </i>
    <i t="default">
      <x v="9"/>
    </i>
    <i>
      <x v="19"/>
      <x v="3"/>
      <x v="14"/>
      <x v="7"/>
    </i>
    <i t="default" r="2">
      <x v="14"/>
    </i>
    <i t="default" r="1">
      <x v="3"/>
    </i>
    <i t="default">
      <x v="19"/>
    </i>
    <i>
      <x v="22"/>
      <x v="10"/>
      <x v="5"/>
      <x v="8"/>
    </i>
    <i t="default" r="2">
      <x v="5"/>
    </i>
    <i t="default" r="1">
      <x v="10"/>
    </i>
    <i t="default">
      <x v="22"/>
    </i>
    <i>
      <x v="23"/>
      <x v="9"/>
      <x v="1"/>
      <x v="13"/>
    </i>
    <i t="default" r="2">
      <x v="1"/>
    </i>
    <i t="default" r="1">
      <x v="9"/>
    </i>
    <i t="default">
      <x v="23"/>
    </i>
    <i>
      <x v="29"/>
      <x v="9"/>
      <x v="10"/>
      <x v="7"/>
    </i>
    <i t="default" r="2">
      <x v="10"/>
    </i>
    <i t="default" r="1">
      <x v="9"/>
    </i>
    <i t="default">
      <x v="29"/>
    </i>
    <i>
      <x v="31"/>
      <x v="7"/>
      <x v="19"/>
      <x v="13"/>
    </i>
    <i t="default" r="2">
      <x v="19"/>
    </i>
    <i t="default" r="1">
      <x v="7"/>
    </i>
    <i t="default">
      <x v="31"/>
    </i>
    <i>
      <x v="36"/>
      <x v="9"/>
      <x v="21"/>
      <x v="10"/>
    </i>
    <i t="default" r="2">
      <x v="21"/>
    </i>
    <i t="default" r="1">
      <x v="9"/>
    </i>
    <i t="default">
      <x v="36"/>
    </i>
    <i>
      <x v="43"/>
      <x v="3"/>
      <x v="9"/>
      <x v="7"/>
    </i>
    <i t="default" r="2">
      <x v="9"/>
    </i>
    <i t="default" r="1">
      <x v="3"/>
    </i>
    <i t="default">
      <x v="43"/>
    </i>
    <i>
      <x v="45"/>
      <x v="9"/>
      <x v="19"/>
      <x v="13"/>
    </i>
    <i t="default" r="2">
      <x v="19"/>
    </i>
    <i t="default" r="1">
      <x v="9"/>
    </i>
    <i t="default">
      <x v="45"/>
    </i>
    <i>
      <x v="47"/>
      <x v="10"/>
      <x v="11"/>
      <x v="2"/>
    </i>
    <i t="default" r="2">
      <x v="11"/>
    </i>
    <i t="default" r="1">
      <x v="10"/>
    </i>
    <i t="default">
      <x v="47"/>
    </i>
    <i>
      <x v="65"/>
      <x v="9"/>
      <x v="11"/>
      <x v="11"/>
    </i>
    <i t="default" r="2">
      <x v="11"/>
    </i>
    <i t="default" r="1">
      <x v="9"/>
    </i>
    <i t="default">
      <x v="65"/>
    </i>
    <i>
      <x v="66"/>
      <x v="9"/>
      <x v="22"/>
      <x v="14"/>
    </i>
    <i t="default" r="2">
      <x v="22"/>
    </i>
    <i t="default" r="1">
      <x v="9"/>
    </i>
    <i t="default">
      <x v="66"/>
    </i>
    <i>
      <x v="93"/>
      <x v="9"/>
      <x v="21"/>
      <x v="6"/>
    </i>
    <i t="default" r="2">
      <x v="21"/>
    </i>
    <i t="default" r="1">
      <x v="9"/>
    </i>
    <i t="default">
      <x v="93"/>
    </i>
    <i>
      <x v="96"/>
      <x v="9"/>
      <x v="11"/>
      <x v="6"/>
    </i>
    <i t="default" r="2">
      <x v="11"/>
    </i>
    <i t="default" r="1">
      <x v="9"/>
    </i>
    <i t="default">
      <x v="96"/>
    </i>
    <i>
      <x v="107"/>
      <x v="9"/>
      <x v="7"/>
      <x v="11"/>
    </i>
    <i t="default" r="2">
      <x v="7"/>
    </i>
    <i t="default" r="1">
      <x v="9"/>
    </i>
    <i t="default">
      <x v="107"/>
    </i>
    <i t="grand">
      <x/>
    </i>
  </rowItems>
  <colItems count="1">
    <i/>
  </colItems>
  <pageFields count="1">
    <pageField fld="16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873A0-70FC-403E-BC89-61BBA66734E5}" name="Tabla1" displayName="Tabla1" ref="A1:X329" totalsRowShown="0" headerRowDxfId="29" dataDxfId="28" headerRowBorderDxfId="26" tableBorderDxfId="27" totalsRowBorderDxfId="25">
  <autoFilter ref="A1:X329" xr:uid="{3B0873A0-70FC-403E-BC89-61BBA66734E5}"/>
  <sortState xmlns:xlrd2="http://schemas.microsoft.com/office/spreadsheetml/2017/richdata2" ref="A2:X328">
    <sortCondition ref="B1:B328"/>
  </sortState>
  <tableColumns count="24">
    <tableColumn id="1" xr3:uid="{1F3C2F4B-3283-49FD-BF01-C0A6044E1803}" name="Canal" dataDxfId="24"/>
    <tableColumn id="2" xr3:uid="{2494748F-B628-40E5-ABB1-1EB355F949F8}" name="Fecha Ingreso Solicitud" dataDxfId="23"/>
    <tableColumn id="3" xr3:uid="{A8CC222B-3591-4E7B-98B7-556194DE5FFA}" name="Hora ingreso Solicitud" dataDxfId="22"/>
    <tableColumn id="4" xr3:uid="{AC4EBE66-794C-4166-AFE0-65271ABFC854}" name="Fecha de respuesta Solicitud" dataDxfId="21"/>
    <tableColumn id="5" xr3:uid="{A28273EE-74B6-4930-9FF8-F87D78C55060}" name="Hora de respuesta Solicitud" dataDxfId="20"/>
    <tableColumn id="21" xr3:uid="{BAB7F779-F452-4C24-9868-AE2941E6D425}" name="Fecha Ingreso Cotizacion" dataDxfId="19"/>
    <tableColumn id="22" xr3:uid="{1B6A03AE-8657-4E13-BAF4-CA8E4A8B7252}" name="Fecha Cierre Cotizacion" dataDxfId="18"/>
    <tableColumn id="6" xr3:uid="{C8D7111C-1B29-4E06-8731-EBD3BAB93EB7}" name="Cliente" dataDxfId="17"/>
    <tableColumn id="19" xr3:uid="{A8CCC75B-B307-48AE-995A-D7D486A39CD8}" name="Tipo de Cliente" dataDxfId="16"/>
    <tableColumn id="7" xr3:uid="{F91F35E2-39D5-4033-A8BA-66F8D5190562}" name="Contacto" dataDxfId="15"/>
    <tableColumn id="8" xr3:uid="{1CE68CCE-2BDB-4E41-A69E-265BDB28588B}" name="Celular" dataDxfId="14"/>
    <tableColumn id="9" xr3:uid="{C966A727-6BD8-48DE-A130-D27273A1DCB8}" name="Tipo de Solicitud" dataDxfId="13"/>
    <tableColumn id="10" xr3:uid="{3065F515-1F20-40E9-95F0-753239DEA5BA}" name="Tipo de Operación" dataDxfId="12"/>
    <tableColumn id="11" xr3:uid="{14860F11-BF05-47CB-83C0-3491E4B9601A}" name="Ciudad Origen" dataDxfId="11"/>
    <tableColumn id="12" xr3:uid="{602654C2-4D26-4512-ABA2-ED25FB130264}" name="Ciudad Destino" dataDxfId="10"/>
    <tableColumn id="13" xr3:uid="{0C1F4C8A-EE02-477A-980E-83E89F1D3318}" name="Estado" dataDxfId="9"/>
    <tableColumn id="23" xr3:uid="{4DED665C-F606-497A-BD38-3FFF19339450}" name="Estado Cotizacion" dataDxfId="8"/>
    <tableColumn id="17" xr3:uid="{59D575F3-A9EF-4D1E-B133-59E246912F14}" name="Responsable Cotizacion" dataDxfId="7"/>
    <tableColumn id="20" xr3:uid="{508CFAED-3CB5-4A47-ABE3-14AC88B613C9}" name="Accion a Seguir" dataDxfId="6"/>
    <tableColumn id="18" xr3:uid="{41DAB3E7-C3C7-4A59-ACE6-7C212BA093B3}" name="Valor Estimado Negocio" dataDxfId="5"/>
    <tableColumn id="24" xr3:uid="{62C3F19C-A610-4DD1-89FF-1E335DB8E3C0}" name="Tiempo" dataDxfId="4"/>
    <tableColumn id="14" xr3:uid="{043E068C-4BBB-4707-AC81-D088E8167659}" name="Observación" dataDxfId="3"/>
    <tableColumn id="15" xr3:uid="{21CB710A-209C-4D82-9B69-03116E21DA46}" name="Importancia Interna" dataDxfId="2"/>
    <tableColumn id="16" xr3:uid="{785714B4-32B3-42CD-A228-1FFDB98893FE}" name="Importancia Extern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25FC9D-690C-4B71-A0B6-B09068B52F60}" name="Tabla3" displayName="Tabla3" ref="A1:A21" totalsRowShown="0">
  <autoFilter ref="A1:A21" xr:uid="{8B25FC9D-690C-4B71-A0B6-B09068B52F60}"/>
  <tableColumns count="1">
    <tableColumn id="1" xr3:uid="{4E0CB4CC-AF4B-4836-8726-9126802C4C64}" name="Tipo de Oper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95C820-04A9-4EBF-AF9B-B6B2D34F3789}" name="Tabla4" displayName="Tabla4" ref="C1:D14" totalsRowShown="0">
  <autoFilter ref="C1:D14" xr:uid="{A995C820-04A9-4EBF-AF9B-B6B2D34F3789}"/>
  <tableColumns count="2">
    <tableColumn id="1" xr3:uid="{BCFB6427-5114-4E99-91B6-B0B8B998F075}" name="Estado"/>
    <tableColumn id="2" xr3:uid="{08B7AED3-E22C-4BED-B51A-54F88297D7B4}" name="Comentari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349F38-1BC5-4C6D-A5D1-1E1825FB501F}" name="Tabla5" displayName="Tabla5" ref="F1:G8" totalsRowShown="0">
  <autoFilter ref="F1:G8" xr:uid="{0F349F38-1BC5-4C6D-A5D1-1E1825FB501F}"/>
  <tableColumns count="2">
    <tableColumn id="1" xr3:uid="{D7F62155-F7FE-46C6-9897-8BF2DAA26051}" name="Tipo de Cliente"/>
    <tableColumn id="2" xr3:uid="{DD630E8C-DAD5-4963-9A48-964BFF14F81D}" name="Comentarios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6244F3-432F-43FE-A73B-9E082D88547E}" name="Tabla6" displayName="Tabla6" ref="I1:I10" totalsRowShown="0">
  <autoFilter ref="I1:I10" xr:uid="{776244F3-432F-43FE-A73B-9E082D88547E}"/>
  <tableColumns count="1">
    <tableColumn id="1" xr3:uid="{15C9C335-AB19-4FFB-9750-E52FDCD99659}" name="Age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D5825A-7E62-4A1D-9D50-AB313E76678D}" name="Tabla7" displayName="Tabla7" ref="K1:K10" totalsRowShown="0">
  <autoFilter ref="K1:K10" xr:uid="{D8D5825A-7E62-4A1D-9D50-AB313E76678D}"/>
  <tableColumns count="1">
    <tableColumn id="1" xr3:uid="{10A7D1E4-F8A2-4D8A-937A-B4E1E94FFFD6}" name="Tipo de Solicitu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C38D42-4F6D-48AF-B987-9D76540D0404}" name="Tabla10" displayName="Tabla10" ref="M1:M9" totalsRowShown="0">
  <autoFilter ref="M1:M9" xr:uid="{DFC38D42-4F6D-48AF-B987-9D76540D0404}"/>
  <tableColumns count="1">
    <tableColumn id="1" xr3:uid="{10966972-5160-455E-89C1-9E45035F6D4D}" name="Estado de cotiza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C5D3D9-8A95-4205-AD64-882DA4DBCE62}" name="Tabla8" displayName="Tabla8" ref="O1:O4" totalsRowShown="0">
  <autoFilter ref="O1:O4" xr:uid="{92C5D3D9-8A95-4205-AD64-882DA4DBCE62}"/>
  <tableColumns count="1">
    <tableColumn id="1" xr3:uid="{B3F6D10F-70BE-4B5C-A785-7E6434FB65B1}" name="Importancia Intern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12E180-A32C-4DED-B863-FC0305CA0588}" name="Tabla810" displayName="Tabla810" ref="Q1:Q4" totalsRowShown="0">
  <autoFilter ref="Q1:Q4" xr:uid="{FA12E180-A32C-4DED-B863-FC0305CA0588}"/>
  <tableColumns count="1">
    <tableColumn id="1" xr3:uid="{AA0919F8-ECCE-4B0C-BF7C-027C7AFB377C}" name="Importancia Exter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770D-06F6-4265-B815-90352D3707BC}">
  <dimension ref="A1:X329"/>
  <sheetViews>
    <sheetView showGridLines="0" tabSelected="1" topLeftCell="B1" zoomScale="90" zoomScaleNormal="90" zoomScaleSheetLayoutView="100" workbookViewId="0">
      <pane ySplit="1" topLeftCell="I292" activePane="bottomLeft" state="frozen"/>
      <selection pane="bottomLeft" activeCell="P322" sqref="P322"/>
    </sheetView>
  </sheetViews>
  <sheetFormatPr defaultColWidth="17.42578125" defaultRowHeight="15.75"/>
  <cols>
    <col min="1" max="12" width="17.42578125" style="12"/>
    <col min="13" max="13" width="21.42578125" style="12" customWidth="1"/>
    <col min="14" max="18" width="17.42578125" style="12"/>
    <col min="19" max="19" width="34.5703125" style="12" customWidth="1"/>
    <col min="20" max="21" width="17.42578125" style="20"/>
    <col min="22" max="16384" width="17.42578125" style="12"/>
  </cols>
  <sheetData>
    <row r="1" spans="1:24" s="6" customFormat="1" ht="46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4" t="s">
        <v>23</v>
      </c>
    </row>
    <row r="2" spans="1:24">
      <c r="A2" s="7" t="s">
        <v>24</v>
      </c>
      <c r="B2" s="8">
        <v>46057</v>
      </c>
      <c r="C2" s="9">
        <v>0.33333333333333331</v>
      </c>
      <c r="D2" s="8">
        <v>45692</v>
      </c>
      <c r="E2" s="9">
        <v>0.33333333333333331</v>
      </c>
      <c r="F2" s="8">
        <v>46057</v>
      </c>
      <c r="G2" s="8">
        <v>46062</v>
      </c>
      <c r="H2" s="10" t="s">
        <v>25</v>
      </c>
      <c r="I2" s="10" t="s">
        <v>26</v>
      </c>
      <c r="J2" s="10" t="s">
        <v>25</v>
      </c>
      <c r="K2" s="10"/>
      <c r="L2" s="10" t="s">
        <v>27</v>
      </c>
      <c r="M2" s="10" t="s">
        <v>28</v>
      </c>
      <c r="N2" s="10" t="s">
        <v>29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/>
      <c r="U2" s="11"/>
      <c r="V2" s="11"/>
    </row>
    <row r="3" spans="1:24">
      <c r="A3" s="7" t="s">
        <v>24</v>
      </c>
      <c r="B3" s="8">
        <v>46059</v>
      </c>
      <c r="C3" s="9">
        <v>0.33333333333333331</v>
      </c>
      <c r="D3" s="8">
        <v>45694</v>
      </c>
      <c r="E3" s="9">
        <v>0.33333333333333331</v>
      </c>
      <c r="F3" s="8">
        <v>46059</v>
      </c>
      <c r="G3" s="8">
        <v>46065</v>
      </c>
      <c r="H3" s="10" t="s">
        <v>34</v>
      </c>
      <c r="I3" s="10" t="s">
        <v>26</v>
      </c>
      <c r="J3" s="10" t="s">
        <v>34</v>
      </c>
      <c r="K3" s="10"/>
      <c r="L3" s="10" t="s">
        <v>27</v>
      </c>
      <c r="M3" s="10" t="s">
        <v>35</v>
      </c>
      <c r="N3" s="10"/>
      <c r="O3" s="10"/>
      <c r="P3" s="10" t="s">
        <v>30</v>
      </c>
      <c r="Q3" s="10" t="s">
        <v>31</v>
      </c>
      <c r="R3" s="10" t="s">
        <v>36</v>
      </c>
      <c r="S3" s="10" t="s">
        <v>33</v>
      </c>
      <c r="T3" s="10"/>
      <c r="U3" s="11"/>
      <c r="V3" s="11"/>
    </row>
    <row r="4" spans="1:24">
      <c r="A4" s="7" t="s">
        <v>37</v>
      </c>
      <c r="B4" s="8">
        <v>46059</v>
      </c>
      <c r="C4" s="9">
        <v>0.33333333333333331</v>
      </c>
      <c r="D4" s="8">
        <v>46059</v>
      </c>
      <c r="E4" s="9">
        <v>0.33333333333333331</v>
      </c>
      <c r="F4" s="8">
        <v>45763</v>
      </c>
      <c r="G4" s="8"/>
      <c r="H4" s="10" t="s">
        <v>38</v>
      </c>
      <c r="I4" s="10" t="s">
        <v>26</v>
      </c>
      <c r="J4" s="10" t="s">
        <v>38</v>
      </c>
      <c r="K4" s="10"/>
      <c r="L4" s="10" t="s">
        <v>27</v>
      </c>
      <c r="M4" s="10" t="s">
        <v>35</v>
      </c>
      <c r="N4" s="10" t="s">
        <v>39</v>
      </c>
      <c r="O4" s="10" t="s">
        <v>40</v>
      </c>
      <c r="P4" s="10" t="s">
        <v>41</v>
      </c>
      <c r="Q4" s="10" t="s">
        <v>42</v>
      </c>
      <c r="R4" s="10" t="s">
        <v>36</v>
      </c>
      <c r="S4" s="10" t="s">
        <v>43</v>
      </c>
      <c r="T4" s="10"/>
      <c r="U4" s="11"/>
      <c r="V4" s="11"/>
    </row>
    <row r="5" spans="1:24">
      <c r="A5" s="7" t="s">
        <v>24</v>
      </c>
      <c r="B5" s="8">
        <v>46065</v>
      </c>
      <c r="C5" s="9">
        <v>0.33333333333333331</v>
      </c>
      <c r="D5" s="8">
        <v>46065</v>
      </c>
      <c r="E5" s="9">
        <v>0.33333333333333331</v>
      </c>
      <c r="F5" s="8">
        <v>46065</v>
      </c>
      <c r="G5" s="8">
        <v>46070</v>
      </c>
      <c r="H5" s="10" t="s">
        <v>44</v>
      </c>
      <c r="I5" s="10" t="s">
        <v>26</v>
      </c>
      <c r="J5" s="10" t="s">
        <v>44</v>
      </c>
      <c r="K5" s="10"/>
      <c r="L5" s="10" t="s">
        <v>27</v>
      </c>
      <c r="M5" s="10" t="s">
        <v>35</v>
      </c>
      <c r="N5" s="10"/>
      <c r="O5" s="10"/>
      <c r="P5" s="10" t="s">
        <v>30</v>
      </c>
      <c r="Q5" s="10" t="s">
        <v>31</v>
      </c>
      <c r="R5" s="10" t="s">
        <v>45</v>
      </c>
      <c r="S5" s="10" t="s">
        <v>46</v>
      </c>
      <c r="T5" s="10"/>
      <c r="U5" s="11"/>
      <c r="V5" s="11"/>
    </row>
    <row r="6" spans="1:24">
      <c r="A6" s="7" t="s">
        <v>37</v>
      </c>
      <c r="B6" s="8">
        <v>46065</v>
      </c>
      <c r="C6" s="9">
        <v>0.33333333333333331</v>
      </c>
      <c r="D6" s="8">
        <v>46065</v>
      </c>
      <c r="E6" s="9">
        <v>0.33333333333333331</v>
      </c>
      <c r="F6" s="8">
        <v>46065</v>
      </c>
      <c r="G6" s="8">
        <v>46070</v>
      </c>
      <c r="H6" s="10" t="s">
        <v>47</v>
      </c>
      <c r="I6" s="10" t="s">
        <v>26</v>
      </c>
      <c r="J6" s="10" t="s">
        <v>47</v>
      </c>
      <c r="K6" s="10"/>
      <c r="L6" s="10" t="s">
        <v>27</v>
      </c>
      <c r="M6" s="10" t="s">
        <v>35</v>
      </c>
      <c r="N6" s="10"/>
      <c r="O6" s="10"/>
      <c r="P6" s="10" t="s">
        <v>30</v>
      </c>
      <c r="Q6" s="10" t="s">
        <v>31</v>
      </c>
      <c r="R6" s="10" t="s">
        <v>36</v>
      </c>
      <c r="S6" s="10" t="s">
        <v>33</v>
      </c>
      <c r="T6" s="10"/>
      <c r="U6" s="11"/>
      <c r="V6" s="11"/>
    </row>
    <row r="7" spans="1:24">
      <c r="A7" s="7" t="s">
        <v>24</v>
      </c>
      <c r="B7" s="8">
        <v>46065</v>
      </c>
      <c r="C7" s="9">
        <v>0.33333333333333331</v>
      </c>
      <c r="D7" s="8">
        <v>45700</v>
      </c>
      <c r="E7" s="9">
        <v>0.33333333333333331</v>
      </c>
      <c r="F7" s="8">
        <v>46065</v>
      </c>
      <c r="G7" s="8">
        <v>46066</v>
      </c>
      <c r="H7" s="10" t="s">
        <v>48</v>
      </c>
      <c r="I7" s="10" t="s">
        <v>26</v>
      </c>
      <c r="J7" s="10" t="s">
        <v>48</v>
      </c>
      <c r="K7" s="10"/>
      <c r="L7" s="10" t="s">
        <v>49</v>
      </c>
      <c r="M7" s="10" t="s">
        <v>35</v>
      </c>
      <c r="N7" s="10"/>
      <c r="O7" s="10"/>
      <c r="P7" s="10" t="s">
        <v>30</v>
      </c>
      <c r="Q7" s="10" t="s">
        <v>31</v>
      </c>
      <c r="R7" s="10" t="s">
        <v>45</v>
      </c>
      <c r="S7" s="10" t="s">
        <v>50</v>
      </c>
      <c r="T7" s="10"/>
      <c r="U7" s="11"/>
      <c r="V7" s="11"/>
    </row>
    <row r="8" spans="1:24">
      <c r="A8" s="7" t="s">
        <v>24</v>
      </c>
      <c r="B8" s="8">
        <v>46065</v>
      </c>
      <c r="C8" s="9">
        <v>0.33333333333333331</v>
      </c>
      <c r="D8" s="8">
        <v>46065</v>
      </c>
      <c r="E8" s="9">
        <v>0.33333333333333331</v>
      </c>
      <c r="F8" s="8">
        <v>46065</v>
      </c>
      <c r="G8" s="8">
        <v>46066</v>
      </c>
      <c r="H8" s="10" t="s">
        <v>51</v>
      </c>
      <c r="I8" s="10" t="s">
        <v>26</v>
      </c>
      <c r="J8" s="10" t="s">
        <v>51</v>
      </c>
      <c r="K8" s="10"/>
      <c r="L8" s="10" t="s">
        <v>49</v>
      </c>
      <c r="M8" s="10" t="s">
        <v>35</v>
      </c>
      <c r="N8" s="10" t="s">
        <v>52</v>
      </c>
      <c r="O8" s="10" t="s">
        <v>53</v>
      </c>
      <c r="P8" s="10" t="s">
        <v>30</v>
      </c>
      <c r="Q8" s="10" t="s">
        <v>31</v>
      </c>
      <c r="R8" s="10" t="s">
        <v>54</v>
      </c>
      <c r="S8" s="10" t="s">
        <v>46</v>
      </c>
      <c r="T8" s="10"/>
      <c r="U8" s="11"/>
      <c r="V8" s="11"/>
    </row>
    <row r="9" spans="1:24">
      <c r="A9" s="7" t="s">
        <v>24</v>
      </c>
      <c r="B9" s="8">
        <v>46066</v>
      </c>
      <c r="C9" s="9">
        <v>0.33333333333333331</v>
      </c>
      <c r="D9" s="8">
        <v>46066</v>
      </c>
      <c r="E9" s="9">
        <v>0.33333333333333331</v>
      </c>
      <c r="F9" s="8">
        <v>46066</v>
      </c>
      <c r="G9" s="8">
        <v>46066</v>
      </c>
      <c r="H9" s="10" t="s">
        <v>55</v>
      </c>
      <c r="I9" s="10" t="s">
        <v>26</v>
      </c>
      <c r="J9" s="10" t="s">
        <v>55</v>
      </c>
      <c r="K9" s="10"/>
      <c r="L9" s="10" t="s">
        <v>27</v>
      </c>
      <c r="M9" s="10" t="s">
        <v>56</v>
      </c>
      <c r="N9" s="10"/>
      <c r="O9" s="10"/>
      <c r="P9" s="10" t="s">
        <v>30</v>
      </c>
      <c r="Q9" s="10" t="s">
        <v>31</v>
      </c>
      <c r="R9" s="10" t="s">
        <v>57</v>
      </c>
      <c r="S9" s="10" t="s">
        <v>46</v>
      </c>
      <c r="T9" s="10"/>
      <c r="U9" s="11"/>
      <c r="V9" s="11"/>
    </row>
    <row r="10" spans="1:24">
      <c r="A10" s="7" t="s">
        <v>37</v>
      </c>
      <c r="B10" s="8">
        <v>46067</v>
      </c>
      <c r="C10" s="9">
        <v>0.33333333333333331</v>
      </c>
      <c r="D10" s="8">
        <v>46067</v>
      </c>
      <c r="E10" s="9">
        <v>0.33333333333333331</v>
      </c>
      <c r="F10" s="8">
        <v>46067</v>
      </c>
      <c r="G10" s="8">
        <v>46070</v>
      </c>
      <c r="H10" s="10" t="s">
        <v>58</v>
      </c>
      <c r="I10" s="10" t="s">
        <v>26</v>
      </c>
      <c r="J10" s="10" t="s">
        <v>59</v>
      </c>
      <c r="K10" s="10"/>
      <c r="L10" s="10" t="s">
        <v>27</v>
      </c>
      <c r="M10" s="10" t="s">
        <v>56</v>
      </c>
      <c r="N10" s="10" t="s">
        <v>60</v>
      </c>
      <c r="O10" s="10" t="s">
        <v>29</v>
      </c>
      <c r="P10" s="10" t="s">
        <v>30</v>
      </c>
      <c r="Q10" s="10" t="s">
        <v>31</v>
      </c>
      <c r="R10" s="10" t="s">
        <v>57</v>
      </c>
      <c r="S10" s="10" t="s">
        <v>46</v>
      </c>
      <c r="T10" s="10"/>
      <c r="U10" s="11"/>
      <c r="V10" s="11"/>
    </row>
    <row r="11" spans="1:24">
      <c r="A11" s="7" t="s">
        <v>24</v>
      </c>
      <c r="B11" s="8">
        <v>46078</v>
      </c>
      <c r="C11" s="9">
        <v>0.42986111111111114</v>
      </c>
      <c r="D11" s="8">
        <v>46078</v>
      </c>
      <c r="E11" s="9">
        <v>0.48194444444444445</v>
      </c>
      <c r="F11" s="8"/>
      <c r="G11" s="8"/>
      <c r="H11" s="10"/>
      <c r="I11" s="10" t="s">
        <v>26</v>
      </c>
      <c r="J11" s="10"/>
      <c r="K11" s="10"/>
      <c r="L11" s="10" t="s">
        <v>27</v>
      </c>
      <c r="M11" s="10" t="s">
        <v>35</v>
      </c>
      <c r="N11" s="10"/>
      <c r="O11" s="10"/>
      <c r="P11" s="10" t="s">
        <v>61</v>
      </c>
      <c r="Q11" s="10" t="s">
        <v>62</v>
      </c>
      <c r="R11" s="10"/>
      <c r="S11" s="10"/>
      <c r="T11" s="10"/>
      <c r="U11" s="11"/>
      <c r="V11" s="11"/>
    </row>
    <row r="12" spans="1:24">
      <c r="A12" s="7" t="s">
        <v>24</v>
      </c>
      <c r="B12" s="8">
        <v>46079</v>
      </c>
      <c r="C12" s="9">
        <v>0.37222222222222223</v>
      </c>
      <c r="D12" s="8">
        <v>46079</v>
      </c>
      <c r="E12" s="9">
        <v>0.51249999999999996</v>
      </c>
      <c r="F12" s="8"/>
      <c r="G12" s="8"/>
      <c r="H12" s="10" t="s">
        <v>63</v>
      </c>
      <c r="I12" s="10" t="s">
        <v>26</v>
      </c>
      <c r="J12" s="10" t="s">
        <v>63</v>
      </c>
      <c r="K12" s="10"/>
      <c r="L12" s="10" t="s">
        <v>27</v>
      </c>
      <c r="M12" s="10" t="s">
        <v>35</v>
      </c>
      <c r="N12" s="10"/>
      <c r="O12" s="10"/>
      <c r="P12" s="10" t="s">
        <v>61</v>
      </c>
      <c r="Q12" s="10" t="s">
        <v>62</v>
      </c>
      <c r="R12" s="10"/>
      <c r="S12" s="10"/>
      <c r="T12" s="13"/>
      <c r="U12" s="14"/>
      <c r="V12" s="11"/>
    </row>
    <row r="13" spans="1:24">
      <c r="A13" s="7" t="s">
        <v>24</v>
      </c>
      <c r="B13" s="8">
        <v>46079</v>
      </c>
      <c r="C13" s="9">
        <v>0.74305555555555558</v>
      </c>
      <c r="D13" s="8">
        <v>46080</v>
      </c>
      <c r="E13" s="9">
        <v>0.46041666666666664</v>
      </c>
      <c r="F13" s="8">
        <v>46080</v>
      </c>
      <c r="G13" s="8">
        <v>46082</v>
      </c>
      <c r="H13" s="10" t="s">
        <v>64</v>
      </c>
      <c r="I13" s="10" t="s">
        <v>26</v>
      </c>
      <c r="J13" s="10" t="s">
        <v>64</v>
      </c>
      <c r="K13" s="10"/>
      <c r="L13" s="10" t="s">
        <v>27</v>
      </c>
      <c r="M13" s="10" t="s">
        <v>65</v>
      </c>
      <c r="N13" s="10"/>
      <c r="O13" s="10"/>
      <c r="P13" s="10" t="s">
        <v>30</v>
      </c>
      <c r="Q13" s="10" t="s">
        <v>66</v>
      </c>
      <c r="R13" s="10" t="s">
        <v>67</v>
      </c>
      <c r="S13" s="10" t="s">
        <v>68</v>
      </c>
      <c r="T13" s="10"/>
      <c r="U13" s="11"/>
      <c r="V13" s="11"/>
    </row>
    <row r="14" spans="1:24">
      <c r="A14" s="7" t="s">
        <v>24</v>
      </c>
      <c r="B14" s="8">
        <v>46079</v>
      </c>
      <c r="C14" s="9">
        <v>0.69305555555555554</v>
      </c>
      <c r="D14" s="8">
        <v>46080</v>
      </c>
      <c r="E14" s="9">
        <v>0.68611111111111112</v>
      </c>
      <c r="F14" s="8"/>
      <c r="G14" s="8"/>
      <c r="H14" s="10"/>
      <c r="I14" s="10" t="s">
        <v>26</v>
      </c>
      <c r="J14" s="10"/>
      <c r="K14" s="10"/>
      <c r="L14" s="10" t="s">
        <v>49</v>
      </c>
      <c r="M14" s="10" t="s">
        <v>35</v>
      </c>
      <c r="N14" s="10"/>
      <c r="O14" s="10"/>
      <c r="P14" s="10" t="s">
        <v>61</v>
      </c>
      <c r="Q14" s="10" t="s">
        <v>62</v>
      </c>
      <c r="R14" s="10"/>
      <c r="S14" s="10"/>
      <c r="T14" s="10"/>
      <c r="U14" s="11"/>
      <c r="V14" s="11"/>
    </row>
    <row r="15" spans="1:24">
      <c r="A15" s="7" t="s">
        <v>24</v>
      </c>
      <c r="B15" s="8">
        <v>46080</v>
      </c>
      <c r="C15" s="9">
        <v>0.45347222222222222</v>
      </c>
      <c r="D15" s="8">
        <v>46080</v>
      </c>
      <c r="E15" s="9">
        <v>0.46527777777777779</v>
      </c>
      <c r="F15" s="8"/>
      <c r="G15" s="8"/>
      <c r="H15" s="10" t="s">
        <v>69</v>
      </c>
      <c r="I15" s="10" t="s">
        <v>26</v>
      </c>
      <c r="J15" s="10" t="s">
        <v>69</v>
      </c>
      <c r="K15" s="10"/>
      <c r="L15" s="10" t="s">
        <v>27</v>
      </c>
      <c r="M15" s="10" t="s">
        <v>35</v>
      </c>
      <c r="N15" s="10"/>
      <c r="O15" s="10"/>
      <c r="P15" s="10" t="s">
        <v>61</v>
      </c>
      <c r="Q15" s="10" t="s">
        <v>62</v>
      </c>
      <c r="R15" s="10"/>
      <c r="S15" s="10"/>
      <c r="T15" s="13"/>
      <c r="U15" s="14"/>
      <c r="V15" s="11"/>
    </row>
    <row r="16" spans="1:24">
      <c r="A16" s="7" t="s">
        <v>24</v>
      </c>
      <c r="B16" s="8">
        <v>46080</v>
      </c>
      <c r="C16" s="9">
        <v>0.30208333333333331</v>
      </c>
      <c r="D16" s="8">
        <v>46080</v>
      </c>
      <c r="E16" s="9">
        <v>0.45069444444444445</v>
      </c>
      <c r="F16" s="8">
        <v>46087</v>
      </c>
      <c r="G16" s="8">
        <v>46090</v>
      </c>
      <c r="H16" s="10" t="s">
        <v>70</v>
      </c>
      <c r="I16" s="10" t="s">
        <v>26</v>
      </c>
      <c r="J16" s="10" t="s">
        <v>70</v>
      </c>
      <c r="K16" s="10"/>
      <c r="L16" s="10" t="s">
        <v>27</v>
      </c>
      <c r="M16" s="10" t="s">
        <v>65</v>
      </c>
      <c r="N16" s="10" t="s">
        <v>29</v>
      </c>
      <c r="O16" s="10" t="s">
        <v>29</v>
      </c>
      <c r="P16" s="10" t="s">
        <v>30</v>
      </c>
      <c r="Q16" s="10" t="s">
        <v>66</v>
      </c>
      <c r="R16" s="10" t="s">
        <v>36</v>
      </c>
      <c r="S16" s="10" t="s">
        <v>68</v>
      </c>
      <c r="T16" s="10"/>
      <c r="U16" s="11"/>
      <c r="V16" s="11"/>
    </row>
    <row r="17" spans="1:22">
      <c r="A17" s="7" t="s">
        <v>24</v>
      </c>
      <c r="B17" s="8">
        <v>46080</v>
      </c>
      <c r="C17" s="9">
        <v>0.6069444444444444</v>
      </c>
      <c r="D17" s="8">
        <v>46080</v>
      </c>
      <c r="E17" s="9">
        <v>0.68680555555555556</v>
      </c>
      <c r="F17" s="8"/>
      <c r="G17" s="8"/>
      <c r="H17" s="10"/>
      <c r="I17" s="10" t="s">
        <v>26</v>
      </c>
      <c r="J17" s="10"/>
      <c r="K17" s="10" t="s">
        <v>71</v>
      </c>
      <c r="L17" s="10" t="s">
        <v>49</v>
      </c>
      <c r="M17" s="10" t="s">
        <v>72</v>
      </c>
      <c r="N17" s="10"/>
      <c r="O17" s="10"/>
      <c r="P17" s="10" t="s">
        <v>61</v>
      </c>
      <c r="Q17" s="10" t="s">
        <v>62</v>
      </c>
      <c r="R17" s="10"/>
      <c r="S17" s="10"/>
      <c r="T17" s="10"/>
      <c r="U17" s="11"/>
      <c r="V17" s="11"/>
    </row>
    <row r="18" spans="1:22">
      <c r="A18" s="7" t="s">
        <v>24</v>
      </c>
      <c r="B18" s="8">
        <v>46080</v>
      </c>
      <c r="C18" s="9">
        <v>0.47430555555555554</v>
      </c>
      <c r="D18" s="8">
        <v>46080</v>
      </c>
      <c r="E18" s="9">
        <v>0.48402777777777778</v>
      </c>
      <c r="F18" s="8">
        <v>46080</v>
      </c>
      <c r="G18" s="8">
        <v>46083</v>
      </c>
      <c r="H18" s="10" t="s">
        <v>73</v>
      </c>
      <c r="I18" s="10" t="s">
        <v>26</v>
      </c>
      <c r="J18" s="10" t="s">
        <v>73</v>
      </c>
      <c r="K18" s="10"/>
      <c r="L18" s="10" t="s">
        <v>49</v>
      </c>
      <c r="M18" s="10" t="s">
        <v>35</v>
      </c>
      <c r="N18" s="10"/>
      <c r="O18" s="10"/>
      <c r="P18" s="10" t="s">
        <v>30</v>
      </c>
      <c r="Q18" s="10" t="s">
        <v>31</v>
      </c>
      <c r="R18" s="10" t="s">
        <v>36</v>
      </c>
      <c r="S18" s="10" t="s">
        <v>33</v>
      </c>
      <c r="T18" s="10"/>
      <c r="U18" s="11"/>
      <c r="V18" s="11" t="s">
        <v>74</v>
      </c>
    </row>
    <row r="19" spans="1:22">
      <c r="A19" s="7" t="s">
        <v>24</v>
      </c>
      <c r="B19" s="8">
        <v>46080</v>
      </c>
      <c r="C19" s="9">
        <v>0.30208333333333331</v>
      </c>
      <c r="D19" s="8">
        <v>46080</v>
      </c>
      <c r="E19" s="9">
        <v>0.38055555555555554</v>
      </c>
      <c r="F19" s="8"/>
      <c r="G19" s="8"/>
      <c r="H19" s="10"/>
      <c r="I19" s="10" t="s">
        <v>75</v>
      </c>
      <c r="J19" s="10"/>
      <c r="K19" s="10"/>
      <c r="L19" s="10" t="s">
        <v>75</v>
      </c>
      <c r="M19" s="10" t="s">
        <v>76</v>
      </c>
      <c r="N19" s="10"/>
      <c r="O19" s="10"/>
      <c r="P19" s="10" t="s">
        <v>61</v>
      </c>
      <c r="Q19" s="10" t="s">
        <v>62</v>
      </c>
      <c r="R19" s="10"/>
      <c r="S19" s="10"/>
      <c r="T19" s="10"/>
      <c r="U19" s="11"/>
      <c r="V19" s="11"/>
    </row>
    <row r="20" spans="1:22">
      <c r="A20" s="7" t="s">
        <v>24</v>
      </c>
      <c r="B20" s="8">
        <v>46080</v>
      </c>
      <c r="C20" s="9">
        <v>0.58263888888888893</v>
      </c>
      <c r="D20" s="8">
        <v>46083</v>
      </c>
      <c r="E20" s="9">
        <v>0.65138888888888891</v>
      </c>
      <c r="F20" s="8"/>
      <c r="G20" s="8"/>
      <c r="H20" s="10"/>
      <c r="I20" s="10" t="s">
        <v>75</v>
      </c>
      <c r="J20" s="10"/>
      <c r="K20" s="10" t="s">
        <v>77</v>
      </c>
      <c r="L20" s="10" t="s">
        <v>75</v>
      </c>
      <c r="M20" s="10" t="s">
        <v>76</v>
      </c>
      <c r="N20" s="10"/>
      <c r="O20" s="10"/>
      <c r="P20" s="10" t="s">
        <v>61</v>
      </c>
      <c r="Q20" s="10" t="s">
        <v>62</v>
      </c>
      <c r="R20" s="10"/>
      <c r="S20" s="10"/>
      <c r="T20" s="10"/>
      <c r="U20" s="11"/>
      <c r="V20" s="11"/>
    </row>
    <row r="21" spans="1:22">
      <c r="A21" s="7" t="s">
        <v>24</v>
      </c>
      <c r="B21" s="8">
        <v>46080</v>
      </c>
      <c r="C21" s="9">
        <v>0.51249999999999996</v>
      </c>
      <c r="D21" s="8">
        <v>46083</v>
      </c>
      <c r="E21" s="9">
        <v>0.65138888888888891</v>
      </c>
      <c r="F21" s="8"/>
      <c r="G21" s="8"/>
      <c r="H21" s="10"/>
      <c r="I21" s="10" t="s">
        <v>75</v>
      </c>
      <c r="J21" s="10"/>
      <c r="K21" s="10" t="s">
        <v>78</v>
      </c>
      <c r="L21" s="10" t="s">
        <v>75</v>
      </c>
      <c r="M21" s="10" t="s">
        <v>76</v>
      </c>
      <c r="N21" s="10"/>
      <c r="O21" s="10"/>
      <c r="P21" s="10" t="s">
        <v>61</v>
      </c>
      <c r="Q21" s="10" t="s">
        <v>62</v>
      </c>
      <c r="R21" s="10"/>
      <c r="S21" s="10"/>
      <c r="T21" s="10"/>
      <c r="U21" s="11"/>
      <c r="V21" s="11"/>
    </row>
    <row r="22" spans="1:22">
      <c r="A22" s="7" t="s">
        <v>79</v>
      </c>
      <c r="B22" s="8">
        <v>46080</v>
      </c>
      <c r="C22" s="9">
        <v>0.66249999999999998</v>
      </c>
      <c r="D22" s="8">
        <v>46080</v>
      </c>
      <c r="E22" s="9">
        <v>0.66249999999999998</v>
      </c>
      <c r="F22" s="8"/>
      <c r="G22" s="8"/>
      <c r="H22" s="10" t="s">
        <v>62</v>
      </c>
      <c r="I22" s="10" t="s">
        <v>80</v>
      </c>
      <c r="J22" s="10"/>
      <c r="K22" s="10"/>
      <c r="L22" s="10" t="s">
        <v>81</v>
      </c>
      <c r="M22" s="10" t="s">
        <v>82</v>
      </c>
      <c r="N22" s="10"/>
      <c r="O22" s="10"/>
      <c r="P22" s="10" t="s">
        <v>61</v>
      </c>
      <c r="Q22" s="10" t="s">
        <v>62</v>
      </c>
      <c r="R22" s="10"/>
      <c r="S22" s="10" t="s">
        <v>83</v>
      </c>
      <c r="T22" s="10"/>
      <c r="U22" s="11"/>
      <c r="V22" s="11"/>
    </row>
    <row r="23" spans="1:22">
      <c r="A23" s="7" t="s">
        <v>24</v>
      </c>
      <c r="B23" s="8">
        <v>46083</v>
      </c>
      <c r="C23" s="9">
        <v>0.51249999999999996</v>
      </c>
      <c r="D23" s="8">
        <v>46083</v>
      </c>
      <c r="E23" s="9">
        <v>0.68194444444444446</v>
      </c>
      <c r="F23" s="8"/>
      <c r="G23" s="8"/>
      <c r="H23" s="10"/>
      <c r="I23" s="10" t="s">
        <v>26</v>
      </c>
      <c r="J23" s="10"/>
      <c r="K23" s="10" t="s">
        <v>84</v>
      </c>
      <c r="L23" s="10" t="s">
        <v>27</v>
      </c>
      <c r="M23" s="10" t="s">
        <v>35</v>
      </c>
      <c r="N23" s="10"/>
      <c r="O23" s="10"/>
      <c r="P23" s="10" t="s">
        <v>61</v>
      </c>
      <c r="Q23" s="10" t="s">
        <v>62</v>
      </c>
      <c r="R23" s="10"/>
      <c r="S23" s="10"/>
      <c r="T23" s="10"/>
      <c r="U23" s="11"/>
      <c r="V23" s="11"/>
    </row>
    <row r="24" spans="1:22">
      <c r="A24" s="7" t="s">
        <v>24</v>
      </c>
      <c r="B24" s="8">
        <v>46083</v>
      </c>
      <c r="C24" s="9">
        <v>0.33333333333333331</v>
      </c>
      <c r="D24" s="8">
        <v>46098</v>
      </c>
      <c r="E24" s="9">
        <v>0.33333333333333331</v>
      </c>
      <c r="F24" s="8">
        <v>46083</v>
      </c>
      <c r="G24" s="8">
        <v>46098</v>
      </c>
      <c r="H24" s="10" t="s">
        <v>85</v>
      </c>
      <c r="I24" s="10" t="s">
        <v>26</v>
      </c>
      <c r="J24" s="10" t="s">
        <v>85</v>
      </c>
      <c r="K24" s="10"/>
      <c r="L24" s="10" t="s">
        <v>27</v>
      </c>
      <c r="M24" s="10" t="s">
        <v>35</v>
      </c>
      <c r="N24" s="10" t="s">
        <v>29</v>
      </c>
      <c r="O24" s="10" t="s">
        <v>86</v>
      </c>
      <c r="P24" s="10" t="s">
        <v>30</v>
      </c>
      <c r="Q24" s="10" t="s">
        <v>87</v>
      </c>
      <c r="R24" s="10" t="s">
        <v>32</v>
      </c>
      <c r="S24" s="10" t="s">
        <v>50</v>
      </c>
      <c r="T24" s="13">
        <v>10000000</v>
      </c>
      <c r="U24" s="11"/>
      <c r="V24" s="11"/>
    </row>
    <row r="25" spans="1:22">
      <c r="A25" s="7" t="s">
        <v>24</v>
      </c>
      <c r="B25" s="8">
        <v>46083</v>
      </c>
      <c r="C25" s="9">
        <v>0.33333333333333331</v>
      </c>
      <c r="D25" s="8">
        <v>46083</v>
      </c>
      <c r="E25" s="9">
        <v>0.33333333333333331</v>
      </c>
      <c r="F25" s="8">
        <v>46083</v>
      </c>
      <c r="G25" s="8">
        <v>46083</v>
      </c>
      <c r="H25" s="10" t="s">
        <v>88</v>
      </c>
      <c r="I25" s="10" t="s">
        <v>26</v>
      </c>
      <c r="J25" s="10" t="s">
        <v>88</v>
      </c>
      <c r="K25" s="10"/>
      <c r="L25" s="10" t="s">
        <v>27</v>
      </c>
      <c r="M25" s="10" t="s">
        <v>89</v>
      </c>
      <c r="N25" s="10"/>
      <c r="O25" s="10"/>
      <c r="P25" s="10" t="s">
        <v>30</v>
      </c>
      <c r="Q25" s="10" t="s">
        <v>31</v>
      </c>
      <c r="R25" s="10" t="s">
        <v>90</v>
      </c>
      <c r="S25" s="10" t="s">
        <v>33</v>
      </c>
      <c r="T25" s="10"/>
      <c r="U25" s="11"/>
      <c r="V25" s="11" t="s">
        <v>74</v>
      </c>
    </row>
    <row r="26" spans="1:22">
      <c r="A26" s="7" t="s">
        <v>24</v>
      </c>
      <c r="B26" s="8">
        <v>46083</v>
      </c>
      <c r="C26" s="9">
        <v>0.40625</v>
      </c>
      <c r="D26" s="8">
        <v>46083</v>
      </c>
      <c r="E26" s="9">
        <v>0.67152777777777772</v>
      </c>
      <c r="F26" s="8"/>
      <c r="G26" s="8"/>
      <c r="H26" s="10" t="s">
        <v>62</v>
      </c>
      <c r="I26" s="10" t="s">
        <v>80</v>
      </c>
      <c r="J26" s="10"/>
      <c r="K26" s="10"/>
      <c r="L26" s="10" t="s">
        <v>91</v>
      </c>
      <c r="M26" s="10" t="s">
        <v>35</v>
      </c>
      <c r="N26" s="10"/>
      <c r="O26" s="10"/>
      <c r="P26" s="10" t="s">
        <v>61</v>
      </c>
      <c r="Q26" s="10" t="s">
        <v>62</v>
      </c>
      <c r="R26" s="10" t="s">
        <v>92</v>
      </c>
      <c r="S26" s="10" t="s">
        <v>93</v>
      </c>
      <c r="T26" s="10"/>
      <c r="U26" s="11"/>
      <c r="V26" s="11"/>
    </row>
    <row r="27" spans="1:22">
      <c r="A27" s="7" t="s">
        <v>24</v>
      </c>
      <c r="B27" s="8">
        <v>46083</v>
      </c>
      <c r="C27" s="9">
        <v>0.5756944444444444</v>
      </c>
      <c r="D27" s="8">
        <v>46083</v>
      </c>
      <c r="E27" s="9">
        <v>0.66874999999999996</v>
      </c>
      <c r="F27" s="8"/>
      <c r="G27" s="8"/>
      <c r="H27" s="10" t="s">
        <v>94</v>
      </c>
      <c r="I27" s="10" t="s">
        <v>75</v>
      </c>
      <c r="J27" s="10" t="s">
        <v>94</v>
      </c>
      <c r="K27" s="10"/>
      <c r="L27" s="10" t="s">
        <v>75</v>
      </c>
      <c r="M27" s="10" t="s">
        <v>76</v>
      </c>
      <c r="N27" s="10"/>
      <c r="O27" s="10"/>
      <c r="P27" s="10" t="s">
        <v>61</v>
      </c>
      <c r="Q27" s="10" t="s">
        <v>62</v>
      </c>
      <c r="R27" s="10"/>
      <c r="S27" s="10"/>
      <c r="T27" s="10"/>
      <c r="U27" s="11"/>
      <c r="V27" s="11"/>
    </row>
    <row r="28" spans="1:22">
      <c r="A28" s="7" t="s">
        <v>24</v>
      </c>
      <c r="B28" s="8">
        <v>46083</v>
      </c>
      <c r="C28" s="9">
        <v>0.55069444444444449</v>
      </c>
      <c r="D28" s="8">
        <v>46083</v>
      </c>
      <c r="E28" s="9">
        <v>0.60277777777777775</v>
      </c>
      <c r="F28" s="8"/>
      <c r="G28" s="8"/>
      <c r="H28" s="10" t="s">
        <v>95</v>
      </c>
      <c r="I28" s="10" t="s">
        <v>75</v>
      </c>
      <c r="J28" s="10" t="s">
        <v>95</v>
      </c>
      <c r="K28" s="10"/>
      <c r="L28" s="10" t="s">
        <v>75</v>
      </c>
      <c r="M28" s="10" t="s">
        <v>76</v>
      </c>
      <c r="N28" s="10"/>
      <c r="O28" s="10"/>
      <c r="P28" s="10" t="s">
        <v>61</v>
      </c>
      <c r="Q28" s="10" t="s">
        <v>62</v>
      </c>
      <c r="R28" s="10"/>
      <c r="S28" s="10"/>
      <c r="T28" s="10"/>
      <c r="U28" s="11"/>
      <c r="V28" s="11"/>
    </row>
    <row r="29" spans="1:22">
      <c r="A29" s="7" t="s">
        <v>24</v>
      </c>
      <c r="B29" s="8">
        <v>46083</v>
      </c>
      <c r="C29" s="9">
        <v>0.56527777777777777</v>
      </c>
      <c r="D29" s="8"/>
      <c r="E29" s="9"/>
      <c r="F29" s="8"/>
      <c r="G29" s="8"/>
      <c r="H29" s="10"/>
      <c r="I29" s="10" t="s">
        <v>75</v>
      </c>
      <c r="J29" s="10"/>
      <c r="K29" s="10"/>
      <c r="L29" s="10" t="s">
        <v>75</v>
      </c>
      <c r="M29" s="10" t="s">
        <v>76</v>
      </c>
      <c r="N29" s="10"/>
      <c r="O29" s="10"/>
      <c r="P29" s="10" t="s">
        <v>61</v>
      </c>
      <c r="Q29" s="10" t="s">
        <v>62</v>
      </c>
      <c r="R29" s="10"/>
      <c r="S29" s="10"/>
      <c r="T29" s="10"/>
      <c r="U29" s="11"/>
      <c r="V29" s="11"/>
    </row>
    <row r="30" spans="1:22">
      <c r="A30" s="7" t="s">
        <v>24</v>
      </c>
      <c r="B30" s="8">
        <v>46083</v>
      </c>
      <c r="C30" s="9">
        <v>0.26180555555555557</v>
      </c>
      <c r="D30" s="8">
        <v>46083</v>
      </c>
      <c r="E30" s="9">
        <v>0.4548611111111111</v>
      </c>
      <c r="F30" s="8"/>
      <c r="G30" s="8"/>
      <c r="H30" s="10"/>
      <c r="I30" s="10" t="s">
        <v>75</v>
      </c>
      <c r="J30" s="10"/>
      <c r="K30" s="10" t="s">
        <v>96</v>
      </c>
      <c r="L30" s="10" t="s">
        <v>75</v>
      </c>
      <c r="M30" s="10" t="s">
        <v>76</v>
      </c>
      <c r="N30" s="10"/>
      <c r="O30" s="10"/>
      <c r="P30" s="10" t="s">
        <v>61</v>
      </c>
      <c r="Q30" s="10" t="s">
        <v>62</v>
      </c>
      <c r="R30" s="10"/>
      <c r="S30" s="10"/>
      <c r="T30" s="10"/>
      <c r="U30" s="11"/>
      <c r="V30" s="11"/>
    </row>
    <row r="31" spans="1:22">
      <c r="A31" s="7" t="s">
        <v>24</v>
      </c>
      <c r="B31" s="8">
        <v>46083</v>
      </c>
      <c r="C31" s="9">
        <v>0.36666666666666664</v>
      </c>
      <c r="D31" s="8">
        <v>46083</v>
      </c>
      <c r="E31" s="9">
        <v>0.65138888888888891</v>
      </c>
      <c r="F31" s="8"/>
      <c r="G31" s="8"/>
      <c r="H31" s="10"/>
      <c r="I31" s="10" t="s">
        <v>75</v>
      </c>
      <c r="J31" s="10"/>
      <c r="K31" s="10" t="s">
        <v>97</v>
      </c>
      <c r="L31" s="10" t="s">
        <v>75</v>
      </c>
      <c r="M31" s="10" t="s">
        <v>76</v>
      </c>
      <c r="N31" s="10"/>
      <c r="O31" s="10"/>
      <c r="P31" s="10" t="s">
        <v>61</v>
      </c>
      <c r="Q31" s="10" t="s">
        <v>62</v>
      </c>
      <c r="R31" s="10"/>
      <c r="S31" s="10"/>
      <c r="T31" s="10"/>
      <c r="U31" s="11"/>
      <c r="V31" s="11"/>
    </row>
    <row r="32" spans="1:22">
      <c r="A32" s="7" t="s">
        <v>24</v>
      </c>
      <c r="B32" s="8">
        <v>46083</v>
      </c>
      <c r="C32" s="9">
        <v>0.38541666666666669</v>
      </c>
      <c r="D32" s="8">
        <v>46083</v>
      </c>
      <c r="E32" s="9">
        <v>0.65277777777777779</v>
      </c>
      <c r="F32" s="8"/>
      <c r="G32" s="8"/>
      <c r="H32" s="10"/>
      <c r="I32" s="10" t="s">
        <v>75</v>
      </c>
      <c r="J32" s="10"/>
      <c r="K32" s="10" t="s">
        <v>98</v>
      </c>
      <c r="L32" s="10" t="s">
        <v>75</v>
      </c>
      <c r="M32" s="10" t="s">
        <v>76</v>
      </c>
      <c r="N32" s="10"/>
      <c r="O32" s="10"/>
      <c r="P32" s="10" t="s">
        <v>61</v>
      </c>
      <c r="Q32" s="10" t="s">
        <v>62</v>
      </c>
      <c r="R32" s="10"/>
      <c r="S32" s="10"/>
      <c r="T32" s="10"/>
      <c r="U32" s="11"/>
      <c r="V32" s="11"/>
    </row>
    <row r="33" spans="1:22">
      <c r="A33" s="7" t="s">
        <v>24</v>
      </c>
      <c r="B33" s="8">
        <v>46083</v>
      </c>
      <c r="C33" s="9">
        <v>0.40902777777777777</v>
      </c>
      <c r="D33" s="8">
        <v>46083</v>
      </c>
      <c r="E33" s="9">
        <v>0.65486111111111112</v>
      </c>
      <c r="F33" s="8"/>
      <c r="G33" s="8"/>
      <c r="H33" s="10"/>
      <c r="I33" s="10" t="s">
        <v>99</v>
      </c>
      <c r="J33" s="10"/>
      <c r="K33" s="10" t="s">
        <v>100</v>
      </c>
      <c r="L33" s="10" t="s">
        <v>101</v>
      </c>
      <c r="M33" s="10" t="s">
        <v>102</v>
      </c>
      <c r="N33" s="10"/>
      <c r="O33" s="10"/>
      <c r="P33" s="10" t="s">
        <v>61</v>
      </c>
      <c r="Q33" s="10" t="s">
        <v>62</v>
      </c>
      <c r="R33" s="10"/>
      <c r="S33" s="10" t="s">
        <v>103</v>
      </c>
      <c r="T33" s="10"/>
      <c r="U33" s="11"/>
      <c r="V33" s="11"/>
    </row>
    <row r="34" spans="1:22">
      <c r="A34" s="7" t="s">
        <v>24</v>
      </c>
      <c r="B34" s="8">
        <v>46083</v>
      </c>
      <c r="C34" s="9">
        <v>0.58125000000000004</v>
      </c>
      <c r="D34" s="8">
        <v>46083</v>
      </c>
      <c r="E34" s="9">
        <v>0.66597222222222219</v>
      </c>
      <c r="F34" s="8"/>
      <c r="G34" s="8"/>
      <c r="H34" s="10" t="s">
        <v>62</v>
      </c>
      <c r="I34" s="10" t="s">
        <v>80</v>
      </c>
      <c r="J34" s="10"/>
      <c r="K34" s="10"/>
      <c r="L34" s="36" t="s">
        <v>81</v>
      </c>
      <c r="M34" s="10" t="s">
        <v>82</v>
      </c>
      <c r="N34" s="10"/>
      <c r="O34" s="10"/>
      <c r="P34" s="10" t="s">
        <v>61</v>
      </c>
      <c r="Q34" s="10" t="s">
        <v>62</v>
      </c>
      <c r="R34" s="10"/>
      <c r="S34" s="10" t="s">
        <v>83</v>
      </c>
      <c r="T34" s="10"/>
      <c r="U34" s="11"/>
      <c r="V34" s="11"/>
    </row>
    <row r="35" spans="1:22">
      <c r="A35" s="7" t="s">
        <v>24</v>
      </c>
      <c r="B35" s="8">
        <v>46084</v>
      </c>
      <c r="C35" s="9">
        <v>0.50208333333333333</v>
      </c>
      <c r="D35" s="8">
        <v>46084</v>
      </c>
      <c r="E35" s="9">
        <v>0.50624999999999998</v>
      </c>
      <c r="F35" s="8"/>
      <c r="G35" s="8"/>
      <c r="H35" s="10"/>
      <c r="I35" s="10" t="s">
        <v>26</v>
      </c>
      <c r="J35" s="10"/>
      <c r="K35" s="10" t="s">
        <v>84</v>
      </c>
      <c r="L35" s="10" t="s">
        <v>27</v>
      </c>
      <c r="M35" s="10" t="s">
        <v>35</v>
      </c>
      <c r="N35" s="10"/>
      <c r="O35" s="10"/>
      <c r="P35" s="10" t="s">
        <v>61</v>
      </c>
      <c r="Q35" s="10" t="s">
        <v>62</v>
      </c>
      <c r="R35" s="10"/>
      <c r="S35" s="10"/>
      <c r="T35" s="10"/>
      <c r="U35" s="11"/>
      <c r="V35" s="11"/>
    </row>
    <row r="36" spans="1:22">
      <c r="A36" s="7" t="s">
        <v>24</v>
      </c>
      <c r="B36" s="8">
        <v>46084</v>
      </c>
      <c r="C36" s="9">
        <v>0.70138888888888884</v>
      </c>
      <c r="D36" s="8">
        <v>46087</v>
      </c>
      <c r="E36" s="9">
        <v>0.69027777777777777</v>
      </c>
      <c r="F36" s="8"/>
      <c r="G36" s="8"/>
      <c r="H36" s="10"/>
      <c r="I36" s="10" t="s">
        <v>26</v>
      </c>
      <c r="J36" s="10"/>
      <c r="K36" s="10">
        <v>3105819389</v>
      </c>
      <c r="L36" s="10" t="s">
        <v>27</v>
      </c>
      <c r="M36" s="10" t="s">
        <v>35</v>
      </c>
      <c r="N36" s="10"/>
      <c r="O36" s="10"/>
      <c r="P36" s="10" t="s">
        <v>61</v>
      </c>
      <c r="Q36" s="10" t="s">
        <v>62</v>
      </c>
      <c r="R36" s="10"/>
      <c r="S36" s="10"/>
      <c r="T36" s="10"/>
      <c r="U36" s="11"/>
      <c r="V36" s="11"/>
    </row>
    <row r="37" spans="1:22">
      <c r="A37" s="7" t="s">
        <v>24</v>
      </c>
      <c r="B37" s="8">
        <v>46084</v>
      </c>
      <c r="C37" s="9">
        <v>0.47291666666666665</v>
      </c>
      <c r="D37" s="8">
        <v>46084</v>
      </c>
      <c r="E37" s="9">
        <v>0.47499999999999998</v>
      </c>
      <c r="F37" s="8">
        <v>46084</v>
      </c>
      <c r="G37" s="8">
        <v>46091</v>
      </c>
      <c r="H37" s="10" t="s">
        <v>104</v>
      </c>
      <c r="I37" s="10" t="s">
        <v>26</v>
      </c>
      <c r="J37" s="10" t="s">
        <v>104</v>
      </c>
      <c r="K37" s="10"/>
      <c r="L37" s="10" t="s">
        <v>27</v>
      </c>
      <c r="M37" s="10" t="s">
        <v>35</v>
      </c>
      <c r="N37" s="10"/>
      <c r="O37" s="10"/>
      <c r="P37" s="10" t="s">
        <v>30</v>
      </c>
      <c r="Q37" s="10" t="s">
        <v>66</v>
      </c>
      <c r="R37" s="10" t="s">
        <v>105</v>
      </c>
      <c r="S37" s="10" t="s">
        <v>68</v>
      </c>
      <c r="T37" s="10"/>
      <c r="U37" s="11"/>
      <c r="V37" s="11"/>
    </row>
    <row r="38" spans="1:22">
      <c r="A38" s="7" t="s">
        <v>24</v>
      </c>
      <c r="B38" s="8">
        <v>46084</v>
      </c>
      <c r="C38" s="9">
        <v>0.31388888888888888</v>
      </c>
      <c r="D38" s="8">
        <v>46084</v>
      </c>
      <c r="E38" s="9">
        <v>0.44444444444444442</v>
      </c>
      <c r="F38" s="8">
        <v>46085</v>
      </c>
      <c r="G38" s="8">
        <v>46085</v>
      </c>
      <c r="H38" s="10" t="s">
        <v>106</v>
      </c>
      <c r="I38" s="10" t="s">
        <v>26</v>
      </c>
      <c r="J38" s="10" t="s">
        <v>106</v>
      </c>
      <c r="K38" s="10"/>
      <c r="L38" s="10" t="s">
        <v>27</v>
      </c>
      <c r="M38" s="10" t="s">
        <v>35</v>
      </c>
      <c r="N38" s="10"/>
      <c r="O38" s="10"/>
      <c r="P38" s="10" t="s">
        <v>30</v>
      </c>
      <c r="Q38" s="10" t="s">
        <v>31</v>
      </c>
      <c r="R38" s="10" t="s">
        <v>54</v>
      </c>
      <c r="S38" s="10" t="s">
        <v>33</v>
      </c>
      <c r="T38" s="10"/>
      <c r="U38" s="11"/>
      <c r="V38" s="11" t="s">
        <v>74</v>
      </c>
    </row>
    <row r="39" spans="1:22">
      <c r="A39" s="7" t="s">
        <v>37</v>
      </c>
      <c r="B39" s="8">
        <v>46084</v>
      </c>
      <c r="C39" s="9">
        <v>0.33333333333333331</v>
      </c>
      <c r="D39" s="8">
        <v>46098</v>
      </c>
      <c r="E39" s="9">
        <v>0.33333333333333331</v>
      </c>
      <c r="F39" s="8">
        <v>46084</v>
      </c>
      <c r="G39" s="8">
        <v>46098</v>
      </c>
      <c r="H39" s="10" t="s">
        <v>107</v>
      </c>
      <c r="I39" s="10" t="s">
        <v>26</v>
      </c>
      <c r="J39" s="10" t="s">
        <v>107</v>
      </c>
      <c r="K39" s="10"/>
      <c r="L39" s="10" t="s">
        <v>27</v>
      </c>
      <c r="M39" s="10" t="s">
        <v>108</v>
      </c>
      <c r="N39" s="10"/>
      <c r="O39" s="10"/>
      <c r="P39" s="10" t="s">
        <v>109</v>
      </c>
      <c r="Q39" s="10" t="s">
        <v>110</v>
      </c>
      <c r="R39" s="10" t="s">
        <v>32</v>
      </c>
      <c r="S39" s="10" t="s">
        <v>109</v>
      </c>
      <c r="T39" s="10"/>
      <c r="U39" s="11"/>
      <c r="V39" s="11"/>
    </row>
    <row r="40" spans="1:22">
      <c r="A40" s="7" t="s">
        <v>24</v>
      </c>
      <c r="B40" s="8">
        <v>46084</v>
      </c>
      <c r="C40" s="9">
        <v>0.44305555555555554</v>
      </c>
      <c r="D40" s="8">
        <v>46084</v>
      </c>
      <c r="E40" s="9">
        <v>0.47430555555555554</v>
      </c>
      <c r="F40" s="8">
        <v>46125</v>
      </c>
      <c r="G40" s="8">
        <v>46097</v>
      </c>
      <c r="H40" s="10" t="s">
        <v>111</v>
      </c>
      <c r="I40" s="10" t="s">
        <v>26</v>
      </c>
      <c r="J40" s="10" t="s">
        <v>112</v>
      </c>
      <c r="K40" s="10">
        <v>3102118382</v>
      </c>
      <c r="L40" s="10" t="s">
        <v>27</v>
      </c>
      <c r="M40" s="10" t="s">
        <v>35</v>
      </c>
      <c r="N40" s="10" t="s">
        <v>29</v>
      </c>
      <c r="O40" s="10"/>
      <c r="P40" s="10" t="s">
        <v>41</v>
      </c>
      <c r="Q40" s="10" t="s">
        <v>113</v>
      </c>
      <c r="R40" s="10" t="s">
        <v>67</v>
      </c>
      <c r="S40" s="10" t="s">
        <v>50</v>
      </c>
      <c r="T40" s="13">
        <f>3875000*12</f>
        <v>46500000</v>
      </c>
      <c r="U40" s="14" t="s">
        <v>114</v>
      </c>
      <c r="V40" s="11"/>
    </row>
    <row r="41" spans="1:22">
      <c r="A41" s="7" t="s">
        <v>24</v>
      </c>
      <c r="B41" s="8">
        <v>46084</v>
      </c>
      <c r="C41" s="9">
        <v>0.36388888888888887</v>
      </c>
      <c r="D41" s="8">
        <v>46084</v>
      </c>
      <c r="E41" s="9">
        <v>0.43194444444444446</v>
      </c>
      <c r="F41" s="8"/>
      <c r="G41" s="8"/>
      <c r="H41" s="10" t="s">
        <v>115</v>
      </c>
      <c r="I41" s="10" t="s">
        <v>26</v>
      </c>
      <c r="J41" s="10" t="s">
        <v>115</v>
      </c>
      <c r="K41" s="10"/>
      <c r="L41" s="10" t="s">
        <v>49</v>
      </c>
      <c r="M41" s="10" t="s">
        <v>35</v>
      </c>
      <c r="N41" s="10"/>
      <c r="O41" s="10"/>
      <c r="P41" s="10" t="s">
        <v>61</v>
      </c>
      <c r="Q41" s="10" t="s">
        <v>62</v>
      </c>
      <c r="R41" s="10"/>
      <c r="S41" s="10"/>
      <c r="T41" s="13"/>
      <c r="U41" s="14"/>
      <c r="V41" s="11"/>
    </row>
    <row r="42" spans="1:22">
      <c r="A42" s="7" t="s">
        <v>24</v>
      </c>
      <c r="B42" s="8">
        <v>46084</v>
      </c>
      <c r="C42" s="9">
        <v>0.55555555555555558</v>
      </c>
      <c r="D42" s="8">
        <v>46086</v>
      </c>
      <c r="E42" s="9">
        <v>0.67569444444444449</v>
      </c>
      <c r="F42" s="8"/>
      <c r="G42" s="8"/>
      <c r="H42" s="10"/>
      <c r="I42" s="10" t="s">
        <v>26</v>
      </c>
      <c r="J42" s="10"/>
      <c r="K42" s="10"/>
      <c r="L42" s="10" t="s">
        <v>49</v>
      </c>
      <c r="M42" s="10" t="s">
        <v>72</v>
      </c>
      <c r="N42" s="10"/>
      <c r="O42" s="10"/>
      <c r="P42" s="10" t="s">
        <v>61</v>
      </c>
      <c r="Q42" s="10" t="s">
        <v>62</v>
      </c>
      <c r="R42" s="10"/>
      <c r="S42" s="10"/>
      <c r="T42" s="10"/>
      <c r="U42" s="11"/>
      <c r="V42" s="11"/>
    </row>
    <row r="43" spans="1:22">
      <c r="A43" s="7" t="s">
        <v>24</v>
      </c>
      <c r="B43" s="8">
        <v>46084</v>
      </c>
      <c r="C43" s="9">
        <v>0.55555555555555558</v>
      </c>
      <c r="D43" s="8">
        <v>46086</v>
      </c>
      <c r="E43" s="9">
        <v>0.67569444444444449</v>
      </c>
      <c r="F43" s="8"/>
      <c r="G43" s="8"/>
      <c r="H43" s="10"/>
      <c r="I43" s="10" t="s">
        <v>26</v>
      </c>
      <c r="J43" s="10"/>
      <c r="K43" s="10">
        <v>3145048639</v>
      </c>
      <c r="L43" s="10" t="s">
        <v>49</v>
      </c>
      <c r="M43" s="10" t="s">
        <v>72</v>
      </c>
      <c r="N43" s="10"/>
      <c r="O43" s="10"/>
      <c r="P43" s="10" t="s">
        <v>61</v>
      </c>
      <c r="Q43" s="10" t="s">
        <v>62</v>
      </c>
      <c r="R43" s="10"/>
      <c r="S43" s="10"/>
      <c r="T43" s="10"/>
      <c r="U43" s="11"/>
      <c r="V43" s="11"/>
    </row>
    <row r="44" spans="1:22">
      <c r="A44" s="7" t="s">
        <v>24</v>
      </c>
      <c r="B44" s="8">
        <v>46084</v>
      </c>
      <c r="C44" s="9">
        <v>0.72152777777777777</v>
      </c>
      <c r="D44" s="8">
        <v>46084</v>
      </c>
      <c r="E44" s="9">
        <v>0.72916666666666663</v>
      </c>
      <c r="F44" s="8"/>
      <c r="G44" s="8"/>
      <c r="H44" s="10"/>
      <c r="I44" s="10" t="s">
        <v>26</v>
      </c>
      <c r="J44" s="10"/>
      <c r="K44" s="10" t="s">
        <v>116</v>
      </c>
      <c r="L44" s="10" t="s">
        <v>49</v>
      </c>
      <c r="M44" s="10" t="s">
        <v>72</v>
      </c>
      <c r="N44" s="10"/>
      <c r="O44" s="10"/>
      <c r="P44" s="10" t="s">
        <v>61</v>
      </c>
      <c r="Q44" s="10" t="s">
        <v>62</v>
      </c>
      <c r="R44" s="10"/>
      <c r="S44" s="10"/>
      <c r="T44" s="10"/>
      <c r="U44" s="11"/>
      <c r="V44" s="11"/>
    </row>
    <row r="45" spans="1:22">
      <c r="A45" s="7" t="s">
        <v>24</v>
      </c>
      <c r="B45" s="8">
        <v>46084</v>
      </c>
      <c r="C45" s="9">
        <v>0.72986111111111107</v>
      </c>
      <c r="D45" s="8">
        <v>46084</v>
      </c>
      <c r="E45" s="9">
        <v>0.23472222222222222</v>
      </c>
      <c r="F45" s="8"/>
      <c r="G45" s="8"/>
      <c r="H45" s="10"/>
      <c r="I45" s="10" t="s">
        <v>26</v>
      </c>
      <c r="J45" s="10"/>
      <c r="K45" s="10" t="s">
        <v>117</v>
      </c>
      <c r="L45" s="10" t="s">
        <v>49</v>
      </c>
      <c r="M45" s="10" t="s">
        <v>72</v>
      </c>
      <c r="N45" s="10"/>
      <c r="O45" s="10"/>
      <c r="P45" s="10" t="s">
        <v>61</v>
      </c>
      <c r="Q45" s="10" t="s">
        <v>62</v>
      </c>
      <c r="R45" s="10"/>
      <c r="S45" s="10"/>
      <c r="T45" s="10"/>
      <c r="U45" s="11"/>
      <c r="V45" s="11"/>
    </row>
    <row r="46" spans="1:22">
      <c r="A46" s="7" t="s">
        <v>24</v>
      </c>
      <c r="B46" s="8">
        <v>46084</v>
      </c>
      <c r="C46" s="9">
        <v>0.19375000000000001</v>
      </c>
      <c r="D46" s="8">
        <v>46084</v>
      </c>
      <c r="E46" s="9">
        <v>0.2013888888888889</v>
      </c>
      <c r="F46" s="8"/>
      <c r="G46" s="8"/>
      <c r="H46" s="10"/>
      <c r="I46" s="10" t="s">
        <v>26</v>
      </c>
      <c r="J46" s="10"/>
      <c r="K46" s="10" t="s">
        <v>118</v>
      </c>
      <c r="L46" s="10" t="s">
        <v>49</v>
      </c>
      <c r="M46" s="10" t="s">
        <v>72</v>
      </c>
      <c r="N46" s="10"/>
      <c r="O46" s="10"/>
      <c r="P46" s="10" t="s">
        <v>61</v>
      </c>
      <c r="Q46" s="10" t="s">
        <v>62</v>
      </c>
      <c r="R46" s="10"/>
      <c r="S46" s="10"/>
      <c r="T46" s="10"/>
      <c r="U46" s="11"/>
      <c r="V46" s="11"/>
    </row>
    <row r="47" spans="1:22">
      <c r="A47" s="7" t="s">
        <v>24</v>
      </c>
      <c r="B47" s="8">
        <v>46084</v>
      </c>
      <c r="C47" s="9">
        <v>0.3611111111111111</v>
      </c>
      <c r="D47" s="8">
        <v>46084</v>
      </c>
      <c r="E47" s="9">
        <v>0.44791666666666669</v>
      </c>
      <c r="F47" s="8"/>
      <c r="G47" s="8"/>
      <c r="H47" s="10" t="s">
        <v>62</v>
      </c>
      <c r="I47" s="10" t="s">
        <v>80</v>
      </c>
      <c r="J47" s="10"/>
      <c r="K47" s="10"/>
      <c r="L47" s="10" t="s">
        <v>91</v>
      </c>
      <c r="M47" s="10" t="s">
        <v>35</v>
      </c>
      <c r="N47" s="10"/>
      <c r="O47" s="10"/>
      <c r="P47" s="10" t="s">
        <v>61</v>
      </c>
      <c r="Q47" s="10" t="s">
        <v>62</v>
      </c>
      <c r="R47" s="10" t="s">
        <v>92</v>
      </c>
      <c r="S47" s="10" t="s">
        <v>93</v>
      </c>
      <c r="T47" s="10"/>
      <c r="U47" s="11"/>
      <c r="V47" s="11"/>
    </row>
    <row r="48" spans="1:22">
      <c r="A48" s="7" t="s">
        <v>24</v>
      </c>
      <c r="B48" s="8">
        <v>46084</v>
      </c>
      <c r="C48" s="9">
        <v>0.38541666666666669</v>
      </c>
      <c r="D48" s="8">
        <v>46084</v>
      </c>
      <c r="E48" s="9">
        <v>0.38541666666666669</v>
      </c>
      <c r="F48" s="8"/>
      <c r="G48" s="8"/>
      <c r="H48" s="10" t="s">
        <v>62</v>
      </c>
      <c r="I48" s="10" t="s">
        <v>80</v>
      </c>
      <c r="J48" s="10"/>
      <c r="K48" s="10" t="s">
        <v>98</v>
      </c>
      <c r="L48" s="10" t="s">
        <v>91</v>
      </c>
      <c r="M48" s="10" t="s">
        <v>35</v>
      </c>
      <c r="N48" s="10"/>
      <c r="O48" s="10"/>
      <c r="P48" s="10" t="s">
        <v>61</v>
      </c>
      <c r="Q48" s="10" t="s">
        <v>62</v>
      </c>
      <c r="R48" s="10" t="s">
        <v>92</v>
      </c>
      <c r="S48" s="10" t="s">
        <v>93</v>
      </c>
      <c r="T48" s="10"/>
      <c r="U48" s="11"/>
      <c r="V48" s="11"/>
    </row>
    <row r="49" spans="1:22">
      <c r="A49" s="7" t="s">
        <v>24</v>
      </c>
      <c r="B49" s="8">
        <v>46084</v>
      </c>
      <c r="C49" s="9">
        <v>0.16250000000000001</v>
      </c>
      <c r="D49" s="8">
        <v>46084</v>
      </c>
      <c r="E49" s="9">
        <v>0.67152777777777772</v>
      </c>
      <c r="F49" s="8"/>
      <c r="G49" s="8"/>
      <c r="H49" s="10"/>
      <c r="I49" s="10" t="s">
        <v>75</v>
      </c>
      <c r="J49" s="10"/>
      <c r="K49" s="10" t="s">
        <v>119</v>
      </c>
      <c r="L49" s="10" t="s">
        <v>75</v>
      </c>
      <c r="M49" s="10" t="s">
        <v>76</v>
      </c>
      <c r="N49" s="10"/>
      <c r="O49" s="10"/>
      <c r="P49" s="10" t="s">
        <v>61</v>
      </c>
      <c r="Q49" s="10" t="s">
        <v>62</v>
      </c>
      <c r="R49" s="10"/>
      <c r="S49" s="10"/>
      <c r="T49" s="10"/>
      <c r="U49" s="11"/>
      <c r="V49" s="11"/>
    </row>
    <row r="50" spans="1:22">
      <c r="A50" s="7" t="s">
        <v>24</v>
      </c>
      <c r="B50" s="8">
        <v>46084</v>
      </c>
      <c r="C50" s="9">
        <v>0.56527777777777777</v>
      </c>
      <c r="D50" s="8">
        <v>46084</v>
      </c>
      <c r="E50" s="9">
        <v>0.56527777777777777</v>
      </c>
      <c r="F50" s="8"/>
      <c r="G50" s="8"/>
      <c r="H50" s="10"/>
      <c r="I50" s="10" t="s">
        <v>75</v>
      </c>
      <c r="J50" s="10"/>
      <c r="K50" s="10">
        <v>3205727883</v>
      </c>
      <c r="L50" s="10" t="s">
        <v>75</v>
      </c>
      <c r="M50" s="10" t="s">
        <v>76</v>
      </c>
      <c r="N50" s="10"/>
      <c r="O50" s="10"/>
      <c r="P50" s="10" t="s">
        <v>61</v>
      </c>
      <c r="Q50" s="10" t="s">
        <v>62</v>
      </c>
      <c r="R50" s="10"/>
      <c r="S50" s="10"/>
      <c r="T50" s="10"/>
      <c r="U50" s="11"/>
      <c r="V50" s="11"/>
    </row>
    <row r="51" spans="1:22">
      <c r="A51" s="7" t="s">
        <v>24</v>
      </c>
      <c r="B51" s="8">
        <v>46084</v>
      </c>
      <c r="C51" s="9">
        <v>0.26180555555555557</v>
      </c>
      <c r="D51" s="8">
        <v>46084</v>
      </c>
      <c r="E51" s="9">
        <v>0.37986111111111109</v>
      </c>
      <c r="F51" s="8"/>
      <c r="G51" s="8"/>
      <c r="H51" s="10"/>
      <c r="I51" s="10" t="s">
        <v>75</v>
      </c>
      <c r="J51" s="10"/>
      <c r="K51" s="10">
        <v>3003200069</v>
      </c>
      <c r="L51" s="10" t="s">
        <v>75</v>
      </c>
      <c r="M51" s="10" t="s">
        <v>76</v>
      </c>
      <c r="N51" s="10"/>
      <c r="O51" s="10"/>
      <c r="P51" s="10" t="s">
        <v>61</v>
      </c>
      <c r="Q51" s="10" t="s">
        <v>62</v>
      </c>
      <c r="R51" s="10"/>
      <c r="S51" s="10"/>
      <c r="T51" s="10"/>
      <c r="U51" s="11"/>
      <c r="V51" s="11"/>
    </row>
    <row r="52" spans="1:22">
      <c r="A52" s="7" t="s">
        <v>24</v>
      </c>
      <c r="B52" s="8">
        <v>46084</v>
      </c>
      <c r="C52" s="9">
        <v>0.36666666666666664</v>
      </c>
      <c r="D52" s="8">
        <v>46084</v>
      </c>
      <c r="E52" s="9">
        <v>0.37986111111111109</v>
      </c>
      <c r="F52" s="8"/>
      <c r="G52" s="8"/>
      <c r="H52" s="10"/>
      <c r="I52" s="10" t="s">
        <v>75</v>
      </c>
      <c r="J52" s="10"/>
      <c r="K52" s="10">
        <v>3152985452</v>
      </c>
      <c r="L52" s="10" t="s">
        <v>75</v>
      </c>
      <c r="M52" s="10" t="s">
        <v>76</v>
      </c>
      <c r="N52" s="10"/>
      <c r="O52" s="10"/>
      <c r="P52" s="10" t="s">
        <v>61</v>
      </c>
      <c r="Q52" s="10" t="s">
        <v>62</v>
      </c>
      <c r="R52" s="10"/>
      <c r="S52" s="10"/>
      <c r="T52" s="10"/>
      <c r="U52" s="11"/>
      <c r="V52" s="11"/>
    </row>
    <row r="53" spans="1:22">
      <c r="A53" s="7" t="s">
        <v>24</v>
      </c>
      <c r="B53" s="8">
        <v>46084</v>
      </c>
      <c r="C53" s="9">
        <v>0.30833333333333335</v>
      </c>
      <c r="D53" s="8">
        <v>46084</v>
      </c>
      <c r="E53" s="9">
        <v>0.43680555555555556</v>
      </c>
      <c r="F53" s="8"/>
      <c r="G53" s="8"/>
      <c r="H53" s="10"/>
      <c r="I53" s="10" t="s">
        <v>75</v>
      </c>
      <c r="J53" s="10"/>
      <c r="K53" s="10" t="s">
        <v>120</v>
      </c>
      <c r="L53" s="10" t="s">
        <v>75</v>
      </c>
      <c r="M53" s="10" t="s">
        <v>76</v>
      </c>
      <c r="N53" s="10"/>
      <c r="O53" s="10"/>
      <c r="P53" s="10" t="s">
        <v>61</v>
      </c>
      <c r="Q53" s="10" t="s">
        <v>62</v>
      </c>
      <c r="R53" s="10"/>
      <c r="S53" s="10"/>
      <c r="T53" s="10"/>
      <c r="U53" s="11"/>
      <c r="V53" s="11"/>
    </row>
    <row r="54" spans="1:22">
      <c r="A54" s="7" t="s">
        <v>24</v>
      </c>
      <c r="B54" s="8">
        <v>46084</v>
      </c>
      <c r="C54" s="9">
        <v>0.30833333333333335</v>
      </c>
      <c r="D54" s="8">
        <v>46084</v>
      </c>
      <c r="E54" s="9">
        <v>0.43611111111111112</v>
      </c>
      <c r="F54" s="8"/>
      <c r="G54" s="8"/>
      <c r="H54" s="10"/>
      <c r="I54" s="10" t="s">
        <v>75</v>
      </c>
      <c r="J54" s="10"/>
      <c r="K54" s="10">
        <v>3186774268</v>
      </c>
      <c r="L54" s="10" t="s">
        <v>75</v>
      </c>
      <c r="M54" s="10" t="s">
        <v>76</v>
      </c>
      <c r="N54" s="10"/>
      <c r="O54" s="10"/>
      <c r="P54" s="10" t="s">
        <v>61</v>
      </c>
      <c r="Q54" s="10" t="s">
        <v>62</v>
      </c>
      <c r="R54" s="10"/>
      <c r="S54" s="10"/>
      <c r="T54" s="10"/>
      <c r="U54" s="11"/>
      <c r="V54" s="11"/>
    </row>
    <row r="55" spans="1:22">
      <c r="A55" s="7" t="s">
        <v>24</v>
      </c>
      <c r="B55" s="8">
        <v>46084</v>
      </c>
      <c r="C55" s="9">
        <v>0.39444444444444443</v>
      </c>
      <c r="D55" s="8">
        <v>46084</v>
      </c>
      <c r="E55" s="9">
        <v>0.45624999999999999</v>
      </c>
      <c r="F55" s="8"/>
      <c r="G55" s="8"/>
      <c r="H55" s="10"/>
      <c r="I55" s="10" t="s">
        <v>99</v>
      </c>
      <c r="J55" s="10"/>
      <c r="K55" s="10">
        <v>3017285275</v>
      </c>
      <c r="L55" s="10" t="s">
        <v>101</v>
      </c>
      <c r="M55" s="10" t="s">
        <v>102</v>
      </c>
      <c r="N55" s="10"/>
      <c r="O55" s="10"/>
      <c r="P55" s="10" t="s">
        <v>61</v>
      </c>
      <c r="Q55" s="10" t="s">
        <v>62</v>
      </c>
      <c r="R55" s="10"/>
      <c r="S55" s="10" t="s">
        <v>103</v>
      </c>
      <c r="T55" s="10"/>
      <c r="U55" s="11"/>
      <c r="V55" s="11"/>
    </row>
    <row r="56" spans="1:22">
      <c r="A56" s="7" t="s">
        <v>24</v>
      </c>
      <c r="B56" s="8">
        <v>46084</v>
      </c>
      <c r="C56" s="9">
        <v>0.42430555555555555</v>
      </c>
      <c r="D56" s="8">
        <v>46084</v>
      </c>
      <c r="E56" s="9">
        <v>0.45347222222222222</v>
      </c>
      <c r="F56" s="8"/>
      <c r="G56" s="8"/>
      <c r="H56" s="10"/>
      <c r="I56" s="10" t="s">
        <v>99</v>
      </c>
      <c r="J56" s="10"/>
      <c r="K56" s="10">
        <v>3215411175</v>
      </c>
      <c r="L56" s="10" t="s">
        <v>101</v>
      </c>
      <c r="M56" s="10" t="s">
        <v>102</v>
      </c>
      <c r="N56" s="10"/>
      <c r="O56" s="10"/>
      <c r="P56" s="10" t="s">
        <v>61</v>
      </c>
      <c r="Q56" s="10" t="s">
        <v>62</v>
      </c>
      <c r="R56" s="10"/>
      <c r="S56" s="10" t="s">
        <v>103</v>
      </c>
      <c r="T56" s="10"/>
      <c r="U56" s="11"/>
      <c r="V56" s="11"/>
    </row>
    <row r="57" spans="1:22">
      <c r="A57" s="7" t="s">
        <v>24</v>
      </c>
      <c r="B57" s="8">
        <v>46084</v>
      </c>
      <c r="C57" s="9">
        <v>0.42430555555555555</v>
      </c>
      <c r="D57" s="8">
        <v>46084</v>
      </c>
      <c r="E57" s="9">
        <v>0.43194444444444446</v>
      </c>
      <c r="F57" s="8"/>
      <c r="G57" s="8"/>
      <c r="H57" s="10"/>
      <c r="I57" s="10" t="s">
        <v>99</v>
      </c>
      <c r="J57" s="10"/>
      <c r="K57" s="10">
        <v>3215411175</v>
      </c>
      <c r="L57" s="10" t="s">
        <v>101</v>
      </c>
      <c r="M57" s="10" t="s">
        <v>102</v>
      </c>
      <c r="N57" s="10"/>
      <c r="O57" s="10"/>
      <c r="P57" s="10" t="s">
        <v>61</v>
      </c>
      <c r="Q57" s="10" t="s">
        <v>62</v>
      </c>
      <c r="R57" s="10"/>
      <c r="S57" s="10" t="s">
        <v>103</v>
      </c>
      <c r="T57" s="10"/>
      <c r="U57" s="11"/>
      <c r="V57" s="11"/>
    </row>
    <row r="58" spans="1:22">
      <c r="A58" s="7" t="s">
        <v>24</v>
      </c>
      <c r="B58" s="8">
        <v>46084</v>
      </c>
      <c r="C58" s="9">
        <v>0.40902777777777777</v>
      </c>
      <c r="D58" s="8">
        <v>46084</v>
      </c>
      <c r="E58" s="9">
        <v>0.45555555555555555</v>
      </c>
      <c r="F58" s="8"/>
      <c r="G58" s="8"/>
      <c r="H58" s="10"/>
      <c r="I58" s="10" t="s">
        <v>99</v>
      </c>
      <c r="J58" s="10"/>
      <c r="K58" s="10" t="s">
        <v>100</v>
      </c>
      <c r="L58" s="10" t="s">
        <v>101</v>
      </c>
      <c r="M58" s="10" t="s">
        <v>102</v>
      </c>
      <c r="N58" s="10"/>
      <c r="O58" s="10"/>
      <c r="P58" s="10" t="s">
        <v>61</v>
      </c>
      <c r="Q58" s="10" t="s">
        <v>62</v>
      </c>
      <c r="R58" s="10"/>
      <c r="S58" s="10" t="s">
        <v>103</v>
      </c>
      <c r="T58" s="10"/>
      <c r="U58" s="19"/>
      <c r="V58" s="11"/>
    </row>
    <row r="59" spans="1:22">
      <c r="A59" s="7" t="s">
        <v>24</v>
      </c>
      <c r="B59" s="8">
        <v>46084</v>
      </c>
      <c r="C59" s="9">
        <v>0.39444444444444443</v>
      </c>
      <c r="D59" s="8">
        <v>46084</v>
      </c>
      <c r="E59" s="9">
        <v>0.43194444444444446</v>
      </c>
      <c r="F59" s="8"/>
      <c r="G59" s="8"/>
      <c r="H59" s="10"/>
      <c r="I59" s="10" t="s">
        <v>99</v>
      </c>
      <c r="J59" s="10"/>
      <c r="K59" s="10" t="s">
        <v>121</v>
      </c>
      <c r="L59" s="10" t="s">
        <v>101</v>
      </c>
      <c r="M59" s="10" t="s">
        <v>102</v>
      </c>
      <c r="N59" s="10"/>
      <c r="O59" s="10"/>
      <c r="P59" s="10" t="s">
        <v>61</v>
      </c>
      <c r="Q59" s="10" t="s">
        <v>62</v>
      </c>
      <c r="R59" s="10"/>
      <c r="S59" s="10" t="s">
        <v>103</v>
      </c>
      <c r="T59" s="10"/>
      <c r="U59" s="11"/>
      <c r="V59" s="11"/>
    </row>
    <row r="60" spans="1:22">
      <c r="A60" s="7" t="s">
        <v>24</v>
      </c>
      <c r="B60" s="8">
        <v>46084</v>
      </c>
      <c r="C60" s="9">
        <v>0.57430555555555551</v>
      </c>
      <c r="D60" s="8">
        <v>46084</v>
      </c>
      <c r="E60" s="9">
        <v>0.57638888888888884</v>
      </c>
      <c r="F60" s="8"/>
      <c r="G60" s="8"/>
      <c r="H60" s="10" t="s">
        <v>62</v>
      </c>
      <c r="I60" s="10" t="s">
        <v>80</v>
      </c>
      <c r="J60" s="10"/>
      <c r="K60" s="10"/>
      <c r="L60" s="10" t="s">
        <v>81</v>
      </c>
      <c r="M60" s="10" t="s">
        <v>82</v>
      </c>
      <c r="N60" s="10"/>
      <c r="O60" s="10"/>
      <c r="P60" s="10" t="s">
        <v>61</v>
      </c>
      <c r="Q60" s="10" t="s">
        <v>62</v>
      </c>
      <c r="R60" s="10"/>
      <c r="S60" s="10" t="s">
        <v>83</v>
      </c>
      <c r="T60" s="10"/>
      <c r="U60" s="11"/>
      <c r="V60" s="11"/>
    </row>
    <row r="61" spans="1:22">
      <c r="A61" s="7" t="s">
        <v>24</v>
      </c>
      <c r="B61" s="8">
        <v>46085</v>
      </c>
      <c r="C61" s="9">
        <v>0.63611111111111107</v>
      </c>
      <c r="D61" s="8">
        <v>46086</v>
      </c>
      <c r="E61" s="9">
        <v>0.38055555555555554</v>
      </c>
      <c r="F61" s="8"/>
      <c r="G61" s="8"/>
      <c r="H61" s="10" t="s">
        <v>122</v>
      </c>
      <c r="I61" s="10" t="s">
        <v>26</v>
      </c>
      <c r="J61" s="10" t="s">
        <v>122</v>
      </c>
      <c r="K61" s="10"/>
      <c r="L61" s="10" t="s">
        <v>27</v>
      </c>
      <c r="M61" s="10" t="s">
        <v>35</v>
      </c>
      <c r="N61" s="10"/>
      <c r="O61" s="10"/>
      <c r="P61" s="10" t="s">
        <v>61</v>
      </c>
      <c r="Q61" s="10" t="s">
        <v>62</v>
      </c>
      <c r="R61" s="10"/>
      <c r="S61" s="10"/>
      <c r="T61" s="13"/>
      <c r="U61" s="14"/>
      <c r="V61" s="11"/>
    </row>
    <row r="62" spans="1:22">
      <c r="A62" s="7" t="s">
        <v>24</v>
      </c>
      <c r="B62" s="8">
        <v>46085</v>
      </c>
      <c r="C62" s="9">
        <v>0.65</v>
      </c>
      <c r="D62" s="8">
        <v>46086</v>
      </c>
      <c r="E62" s="9">
        <v>0.36249999999999999</v>
      </c>
      <c r="F62" s="8"/>
      <c r="G62" s="8"/>
      <c r="H62" s="10"/>
      <c r="I62" s="10" t="s">
        <v>26</v>
      </c>
      <c r="J62" s="10"/>
      <c r="K62" s="10">
        <v>3168299477</v>
      </c>
      <c r="L62" s="10" t="s">
        <v>27</v>
      </c>
      <c r="M62" s="10" t="s">
        <v>35</v>
      </c>
      <c r="N62" s="10"/>
      <c r="O62" s="10"/>
      <c r="P62" s="10" t="s">
        <v>61</v>
      </c>
      <c r="Q62" s="10" t="s">
        <v>62</v>
      </c>
      <c r="R62" s="10"/>
      <c r="S62" s="10"/>
      <c r="T62" s="10"/>
      <c r="U62" s="11"/>
      <c r="V62" s="11"/>
    </row>
    <row r="63" spans="1:22">
      <c r="A63" s="7" t="s">
        <v>24</v>
      </c>
      <c r="B63" s="8">
        <v>46085</v>
      </c>
      <c r="C63" s="9">
        <v>0.50972222222222219</v>
      </c>
      <c r="D63" s="8">
        <v>46086</v>
      </c>
      <c r="E63" s="9">
        <v>0.38124999999999998</v>
      </c>
      <c r="F63" s="8"/>
      <c r="G63" s="8"/>
      <c r="H63" s="10"/>
      <c r="I63" s="10" t="s">
        <v>26</v>
      </c>
      <c r="J63" s="10"/>
      <c r="K63" s="10" t="s">
        <v>123</v>
      </c>
      <c r="L63" s="10" t="s">
        <v>27</v>
      </c>
      <c r="M63" s="10" t="s">
        <v>35</v>
      </c>
      <c r="N63" s="10"/>
      <c r="O63" s="10"/>
      <c r="P63" s="10" t="s">
        <v>61</v>
      </c>
      <c r="Q63" s="10" t="s">
        <v>62</v>
      </c>
      <c r="R63" s="10"/>
      <c r="S63" s="10"/>
      <c r="T63" s="10"/>
      <c r="U63" s="11"/>
      <c r="V63" s="11"/>
    </row>
    <row r="64" spans="1:22">
      <c r="A64" s="7" t="s">
        <v>24</v>
      </c>
      <c r="B64" s="8">
        <v>46085</v>
      </c>
      <c r="C64" s="9">
        <v>0.33333333333333331</v>
      </c>
      <c r="D64" s="8">
        <v>46090</v>
      </c>
      <c r="E64" s="9">
        <v>0.33333333333333331</v>
      </c>
      <c r="F64" s="8">
        <v>46085</v>
      </c>
      <c r="G64" s="8">
        <v>46090</v>
      </c>
      <c r="H64" s="10" t="s">
        <v>124</v>
      </c>
      <c r="I64" s="10" t="s">
        <v>26</v>
      </c>
      <c r="J64" s="10" t="s">
        <v>124</v>
      </c>
      <c r="K64" s="10"/>
      <c r="L64" s="10" t="s">
        <v>27</v>
      </c>
      <c r="M64" s="10" t="s">
        <v>89</v>
      </c>
      <c r="N64" s="10"/>
      <c r="O64" s="10"/>
      <c r="P64" s="10" t="s">
        <v>30</v>
      </c>
      <c r="Q64" s="10" t="s">
        <v>31</v>
      </c>
      <c r="R64" s="10" t="s">
        <v>90</v>
      </c>
      <c r="S64" s="10" t="s">
        <v>33</v>
      </c>
      <c r="T64" s="10"/>
      <c r="U64" s="11"/>
      <c r="V64" s="11" t="s">
        <v>74</v>
      </c>
    </row>
    <row r="65" spans="1:22">
      <c r="A65" s="7" t="s">
        <v>24</v>
      </c>
      <c r="B65" s="8">
        <v>46085</v>
      </c>
      <c r="C65" s="9">
        <v>0.33333333333333331</v>
      </c>
      <c r="D65" s="8">
        <v>46090</v>
      </c>
      <c r="E65" s="9">
        <v>0.33333333333333331</v>
      </c>
      <c r="F65" s="8">
        <v>46085</v>
      </c>
      <c r="G65" s="8">
        <v>46090</v>
      </c>
      <c r="H65" s="10" t="s">
        <v>125</v>
      </c>
      <c r="I65" s="10" t="s">
        <v>26</v>
      </c>
      <c r="J65" s="10" t="s">
        <v>125</v>
      </c>
      <c r="K65" s="10"/>
      <c r="L65" s="10" t="s">
        <v>27</v>
      </c>
      <c r="M65" s="10" t="s">
        <v>35</v>
      </c>
      <c r="N65" s="10"/>
      <c r="O65" s="10"/>
      <c r="P65" s="10" t="s">
        <v>30</v>
      </c>
      <c r="Q65" s="10" t="s">
        <v>31</v>
      </c>
      <c r="R65" s="10" t="s">
        <v>126</v>
      </c>
      <c r="S65" s="10" t="s">
        <v>33</v>
      </c>
      <c r="T65" s="10"/>
      <c r="U65" s="11"/>
      <c r="V65" s="11" t="s">
        <v>74</v>
      </c>
    </row>
    <row r="66" spans="1:22">
      <c r="A66" s="7" t="s">
        <v>24</v>
      </c>
      <c r="B66" s="8">
        <v>46085</v>
      </c>
      <c r="C66" s="9">
        <v>0.60624999999999996</v>
      </c>
      <c r="D66" s="8">
        <v>46086</v>
      </c>
      <c r="E66" s="9">
        <v>0.42291666666666666</v>
      </c>
      <c r="F66" s="8"/>
      <c r="G66" s="8"/>
      <c r="H66" s="10" t="s">
        <v>127</v>
      </c>
      <c r="I66" s="10" t="s">
        <v>26</v>
      </c>
      <c r="J66" s="10" t="s">
        <v>127</v>
      </c>
      <c r="K66" s="10"/>
      <c r="L66" s="10" t="s">
        <v>49</v>
      </c>
      <c r="M66" s="10" t="s">
        <v>35</v>
      </c>
      <c r="N66" s="10"/>
      <c r="O66" s="10"/>
      <c r="P66" s="10" t="s">
        <v>61</v>
      </c>
      <c r="Q66" s="10" t="s">
        <v>62</v>
      </c>
      <c r="R66" s="10"/>
      <c r="S66" s="10"/>
      <c r="T66" s="10"/>
      <c r="U66" s="11"/>
      <c r="V66" s="11"/>
    </row>
    <row r="67" spans="1:22">
      <c r="A67" s="7" t="s">
        <v>24</v>
      </c>
      <c r="B67" s="8">
        <v>46085</v>
      </c>
      <c r="C67" s="9">
        <v>0.61458333333333337</v>
      </c>
      <c r="D67" s="8">
        <v>46086</v>
      </c>
      <c r="E67" s="9">
        <v>0.42499999999999999</v>
      </c>
      <c r="F67" s="8"/>
      <c r="G67" s="8"/>
      <c r="H67" s="10" t="s">
        <v>128</v>
      </c>
      <c r="I67" s="10" t="s">
        <v>26</v>
      </c>
      <c r="J67" s="10" t="s">
        <v>128</v>
      </c>
      <c r="K67" s="10"/>
      <c r="L67" s="10" t="s">
        <v>49</v>
      </c>
      <c r="M67" s="10" t="s">
        <v>35</v>
      </c>
      <c r="N67" s="10"/>
      <c r="O67" s="10"/>
      <c r="P67" s="10" t="s">
        <v>61</v>
      </c>
      <c r="Q67" s="10" t="s">
        <v>62</v>
      </c>
      <c r="R67" s="10"/>
      <c r="S67" s="10"/>
      <c r="T67" s="10"/>
      <c r="U67" s="11"/>
      <c r="V67" s="11"/>
    </row>
    <row r="68" spans="1:22">
      <c r="A68" s="7" t="s">
        <v>24</v>
      </c>
      <c r="B68" s="8">
        <v>46085</v>
      </c>
      <c r="C68" s="9">
        <v>0.65</v>
      </c>
      <c r="D68" s="8">
        <v>46086</v>
      </c>
      <c r="E68" s="9">
        <v>0.36249999999999999</v>
      </c>
      <c r="F68" s="8"/>
      <c r="G68" s="8"/>
      <c r="H68" s="10" t="s">
        <v>129</v>
      </c>
      <c r="I68" s="10" t="s">
        <v>26</v>
      </c>
      <c r="J68" s="10" t="s">
        <v>129</v>
      </c>
      <c r="K68" s="10"/>
      <c r="L68" s="10" t="s">
        <v>49</v>
      </c>
      <c r="M68" s="10" t="s">
        <v>35</v>
      </c>
      <c r="N68" s="10"/>
      <c r="O68" s="10"/>
      <c r="P68" s="10" t="s">
        <v>61</v>
      </c>
      <c r="Q68" s="10" t="s">
        <v>62</v>
      </c>
      <c r="R68" s="10"/>
      <c r="S68" s="10"/>
      <c r="T68" s="13"/>
      <c r="U68" s="14"/>
      <c r="V68" s="11"/>
    </row>
    <row r="69" spans="1:22">
      <c r="A69" s="7" t="s">
        <v>24</v>
      </c>
      <c r="B69" s="8">
        <v>46085</v>
      </c>
      <c r="C69" s="9">
        <v>0.40208333333333335</v>
      </c>
      <c r="D69" s="8">
        <v>46087</v>
      </c>
      <c r="E69" s="9">
        <v>0.23194444444444445</v>
      </c>
      <c r="F69" s="8"/>
      <c r="G69" s="8"/>
      <c r="H69" s="10"/>
      <c r="I69" s="10" t="s">
        <v>26</v>
      </c>
      <c r="J69" s="10"/>
      <c r="K69" s="10" t="s">
        <v>130</v>
      </c>
      <c r="L69" s="10" t="s">
        <v>49</v>
      </c>
      <c r="M69" s="10" t="s">
        <v>72</v>
      </c>
      <c r="N69" s="10"/>
      <c r="O69" s="10"/>
      <c r="P69" s="10" t="s">
        <v>61</v>
      </c>
      <c r="Q69" s="10" t="s">
        <v>62</v>
      </c>
      <c r="R69" s="10"/>
      <c r="S69" s="10"/>
      <c r="T69" s="10"/>
      <c r="U69" s="11"/>
      <c r="V69" s="11"/>
    </row>
    <row r="70" spans="1:22">
      <c r="A70" s="7" t="s">
        <v>24</v>
      </c>
      <c r="B70" s="8">
        <v>46085</v>
      </c>
      <c r="C70" s="9">
        <v>0.65</v>
      </c>
      <c r="D70" s="8">
        <v>46087</v>
      </c>
      <c r="E70" s="9">
        <v>0.68958333333333333</v>
      </c>
      <c r="F70" s="8"/>
      <c r="G70" s="8"/>
      <c r="H70" s="10"/>
      <c r="I70" s="10" t="s">
        <v>26</v>
      </c>
      <c r="J70" s="10"/>
      <c r="K70" s="10">
        <v>3117840644</v>
      </c>
      <c r="L70" s="10" t="s">
        <v>49</v>
      </c>
      <c r="M70" s="10" t="s">
        <v>35</v>
      </c>
      <c r="N70" s="10"/>
      <c r="O70" s="10"/>
      <c r="P70" s="10" t="s">
        <v>61</v>
      </c>
      <c r="Q70" s="10" t="s">
        <v>62</v>
      </c>
      <c r="R70" s="10"/>
      <c r="S70" s="10"/>
      <c r="T70" s="10"/>
      <c r="U70" s="11"/>
      <c r="V70" s="11"/>
    </row>
    <row r="71" spans="1:22">
      <c r="A71" s="7" t="s">
        <v>24</v>
      </c>
      <c r="B71" s="8">
        <v>46085</v>
      </c>
      <c r="C71" s="9">
        <v>0.60555555555555551</v>
      </c>
      <c r="D71" s="8">
        <v>46087</v>
      </c>
      <c r="E71" s="9">
        <v>0.73750000000000004</v>
      </c>
      <c r="F71" s="8"/>
      <c r="G71" s="8"/>
      <c r="H71" s="10"/>
      <c r="I71" s="10" t="s">
        <v>26</v>
      </c>
      <c r="J71" s="10"/>
      <c r="K71" s="10" t="s">
        <v>131</v>
      </c>
      <c r="L71" s="10" t="s">
        <v>49</v>
      </c>
      <c r="M71" s="10" t="s">
        <v>35</v>
      </c>
      <c r="N71" s="10"/>
      <c r="O71" s="10"/>
      <c r="P71" s="10" t="s">
        <v>61</v>
      </c>
      <c r="Q71" s="10" t="s">
        <v>62</v>
      </c>
      <c r="R71" s="10"/>
      <c r="S71" s="10"/>
      <c r="T71" s="10"/>
      <c r="U71" s="11"/>
      <c r="V71" s="11"/>
    </row>
    <row r="72" spans="1:22">
      <c r="A72" s="7" t="s">
        <v>24</v>
      </c>
      <c r="B72" s="8">
        <v>46085</v>
      </c>
      <c r="C72" s="9">
        <v>0.47708333333333336</v>
      </c>
      <c r="D72" s="8">
        <v>46086</v>
      </c>
      <c r="E72" s="9">
        <v>0.4236111111111111</v>
      </c>
      <c r="F72" s="8"/>
      <c r="G72" s="8"/>
      <c r="H72" s="10" t="s">
        <v>62</v>
      </c>
      <c r="I72" s="10" t="s">
        <v>80</v>
      </c>
      <c r="J72" s="10"/>
      <c r="K72" s="10">
        <v>3127497444</v>
      </c>
      <c r="L72" s="10" t="s">
        <v>91</v>
      </c>
      <c r="M72" s="10" t="s">
        <v>35</v>
      </c>
      <c r="N72" s="10"/>
      <c r="O72" s="10"/>
      <c r="P72" s="10" t="s">
        <v>61</v>
      </c>
      <c r="Q72" s="10" t="s">
        <v>62</v>
      </c>
      <c r="R72" s="10" t="s">
        <v>92</v>
      </c>
      <c r="S72" s="10" t="s">
        <v>93</v>
      </c>
      <c r="T72" s="10"/>
      <c r="U72" s="11"/>
      <c r="V72" s="11"/>
    </row>
    <row r="73" spans="1:22">
      <c r="A73" s="7" t="s">
        <v>24</v>
      </c>
      <c r="B73" s="8">
        <v>46085</v>
      </c>
      <c r="C73" s="9">
        <v>0.41944444444444445</v>
      </c>
      <c r="D73" s="8">
        <v>46087</v>
      </c>
      <c r="E73" s="9">
        <v>0.72777777777777775</v>
      </c>
      <c r="F73" s="8"/>
      <c r="G73" s="8"/>
      <c r="H73" s="10" t="s">
        <v>62</v>
      </c>
      <c r="I73" s="10" t="s">
        <v>80</v>
      </c>
      <c r="J73" s="10"/>
      <c r="K73" s="10" t="s">
        <v>132</v>
      </c>
      <c r="L73" s="10" t="s">
        <v>91</v>
      </c>
      <c r="M73" s="10" t="s">
        <v>35</v>
      </c>
      <c r="N73" s="10"/>
      <c r="O73" s="10"/>
      <c r="P73" s="10" t="s">
        <v>61</v>
      </c>
      <c r="Q73" s="10" t="s">
        <v>62</v>
      </c>
      <c r="R73" s="10" t="s">
        <v>92</v>
      </c>
      <c r="S73" s="10" t="s">
        <v>93</v>
      </c>
      <c r="T73" s="10"/>
      <c r="U73" s="19"/>
      <c r="V73" s="11"/>
    </row>
    <row r="74" spans="1:22">
      <c r="A74" s="7" t="s">
        <v>24</v>
      </c>
      <c r="B74" s="8">
        <v>46085</v>
      </c>
      <c r="C74" s="9">
        <v>0.59861111111111109</v>
      </c>
      <c r="D74" s="8">
        <v>46085</v>
      </c>
      <c r="E74" s="9">
        <v>0.59861111111111109</v>
      </c>
      <c r="F74" s="8"/>
      <c r="G74" s="8"/>
      <c r="H74" s="10"/>
      <c r="I74" s="10" t="s">
        <v>75</v>
      </c>
      <c r="J74" s="10"/>
      <c r="K74" s="10" t="s">
        <v>133</v>
      </c>
      <c r="L74" s="10" t="s">
        <v>75</v>
      </c>
      <c r="M74" s="10" t="s">
        <v>76</v>
      </c>
      <c r="N74" s="10"/>
      <c r="O74" s="10"/>
      <c r="P74" s="10" t="s">
        <v>61</v>
      </c>
      <c r="Q74" s="10" t="s">
        <v>62</v>
      </c>
      <c r="R74" s="10"/>
      <c r="S74" s="10"/>
      <c r="T74" s="10"/>
      <c r="U74" s="11"/>
      <c r="V74" s="11"/>
    </row>
    <row r="75" spans="1:22">
      <c r="A75" s="7" t="s">
        <v>24</v>
      </c>
      <c r="B75" s="8">
        <v>46085</v>
      </c>
      <c r="C75" s="9">
        <v>0.47569444444444442</v>
      </c>
      <c r="D75" s="8">
        <v>46086</v>
      </c>
      <c r="E75" s="9">
        <v>0.37430555555555556</v>
      </c>
      <c r="F75" s="8"/>
      <c r="G75" s="8"/>
      <c r="H75" s="10"/>
      <c r="I75" s="10" t="s">
        <v>75</v>
      </c>
      <c r="J75" s="10"/>
      <c r="K75" s="10" t="s">
        <v>134</v>
      </c>
      <c r="L75" s="10" t="s">
        <v>75</v>
      </c>
      <c r="M75" s="10" t="s">
        <v>76</v>
      </c>
      <c r="N75" s="10"/>
      <c r="O75" s="10"/>
      <c r="P75" s="10" t="s">
        <v>61</v>
      </c>
      <c r="Q75" s="10" t="s">
        <v>62</v>
      </c>
      <c r="R75" s="10"/>
      <c r="S75" s="10"/>
      <c r="T75" s="10"/>
      <c r="U75" s="11"/>
      <c r="V75" s="11"/>
    </row>
    <row r="76" spans="1:22">
      <c r="A76" s="7" t="s">
        <v>24</v>
      </c>
      <c r="B76" s="8">
        <v>46085</v>
      </c>
      <c r="C76" s="9">
        <v>0.5708333333333333</v>
      </c>
      <c r="D76" s="8">
        <v>46087</v>
      </c>
      <c r="E76" s="9">
        <v>0.73402777777777772</v>
      </c>
      <c r="F76" s="8"/>
      <c r="G76" s="8"/>
      <c r="H76" s="10"/>
      <c r="I76" s="10" t="s">
        <v>75</v>
      </c>
      <c r="J76" s="10"/>
      <c r="K76" s="10" t="s">
        <v>135</v>
      </c>
      <c r="L76" s="10" t="s">
        <v>75</v>
      </c>
      <c r="M76" s="10" t="s">
        <v>76</v>
      </c>
      <c r="N76" s="10"/>
      <c r="O76" s="10"/>
      <c r="P76" s="10" t="s">
        <v>61</v>
      </c>
      <c r="Q76" s="10" t="s">
        <v>62</v>
      </c>
      <c r="R76" s="10"/>
      <c r="S76" s="10"/>
      <c r="T76" s="10"/>
      <c r="U76" s="11"/>
      <c r="V76" s="11"/>
    </row>
    <row r="77" spans="1:22">
      <c r="A77" s="7" t="s">
        <v>24</v>
      </c>
      <c r="B77" s="8">
        <v>46086</v>
      </c>
      <c r="C77" s="9">
        <v>0.55277777777777781</v>
      </c>
      <c r="D77" s="8">
        <v>46090</v>
      </c>
      <c r="E77" s="9">
        <v>0.40902777777777777</v>
      </c>
      <c r="F77" s="8"/>
      <c r="G77" s="8"/>
      <c r="H77" s="10" t="s">
        <v>136</v>
      </c>
      <c r="I77" s="10" t="s">
        <v>26</v>
      </c>
      <c r="J77" s="10" t="s">
        <v>136</v>
      </c>
      <c r="K77" s="10"/>
      <c r="L77" s="10" t="s">
        <v>27</v>
      </c>
      <c r="M77" s="10" t="s">
        <v>35</v>
      </c>
      <c r="N77" s="10"/>
      <c r="O77" s="10"/>
      <c r="P77" s="10" t="s">
        <v>61</v>
      </c>
      <c r="Q77" s="10" t="s">
        <v>62</v>
      </c>
      <c r="R77" s="10"/>
      <c r="S77" s="10"/>
      <c r="T77" s="13"/>
      <c r="U77" s="14"/>
      <c r="V77" s="11"/>
    </row>
    <row r="78" spans="1:22">
      <c r="A78" s="7" t="s">
        <v>24</v>
      </c>
      <c r="B78" s="8">
        <v>46086</v>
      </c>
      <c r="C78" s="9">
        <v>0.33333333333333331</v>
      </c>
      <c r="D78" s="8">
        <v>46113</v>
      </c>
      <c r="E78" s="9">
        <v>0.33333333333333331</v>
      </c>
      <c r="F78" s="8">
        <v>46086</v>
      </c>
      <c r="G78" s="8">
        <v>46113</v>
      </c>
      <c r="H78" s="10" t="s">
        <v>137</v>
      </c>
      <c r="I78" s="10" t="s">
        <v>26</v>
      </c>
      <c r="J78" s="10" t="s">
        <v>137</v>
      </c>
      <c r="K78" s="10"/>
      <c r="L78" s="10" t="s">
        <v>27</v>
      </c>
      <c r="M78" s="10" t="s">
        <v>56</v>
      </c>
      <c r="N78" s="10"/>
      <c r="O78" s="10"/>
      <c r="P78" s="10" t="s">
        <v>30</v>
      </c>
      <c r="Q78" s="10" t="s">
        <v>66</v>
      </c>
      <c r="R78" s="10" t="s">
        <v>57</v>
      </c>
      <c r="S78" s="10" t="s">
        <v>68</v>
      </c>
      <c r="T78" s="10"/>
      <c r="U78" s="11"/>
      <c r="V78" s="11"/>
    </row>
    <row r="79" spans="1:22">
      <c r="A79" s="7" t="s">
        <v>24</v>
      </c>
      <c r="B79" s="8">
        <v>46086</v>
      </c>
      <c r="C79" s="9">
        <v>0.37777777777777777</v>
      </c>
      <c r="D79" s="8">
        <v>46086</v>
      </c>
      <c r="E79" s="9">
        <v>0.39861111111111114</v>
      </c>
      <c r="F79" s="8">
        <v>46111</v>
      </c>
      <c r="G79" s="8">
        <v>46113</v>
      </c>
      <c r="H79" s="10" t="s">
        <v>138</v>
      </c>
      <c r="I79" s="10" t="s">
        <v>26</v>
      </c>
      <c r="J79" s="10" t="s">
        <v>138</v>
      </c>
      <c r="K79" s="10"/>
      <c r="L79" s="10" t="s">
        <v>27</v>
      </c>
      <c r="M79" s="10" t="s">
        <v>89</v>
      </c>
      <c r="N79" s="10"/>
      <c r="O79" s="10"/>
      <c r="P79" s="10" t="s">
        <v>30</v>
      </c>
      <c r="Q79" s="10" t="s">
        <v>113</v>
      </c>
      <c r="R79" s="10" t="s">
        <v>139</v>
      </c>
      <c r="S79" s="10" t="s">
        <v>68</v>
      </c>
      <c r="T79" s="13">
        <v>30000000</v>
      </c>
      <c r="U79" s="14" t="s">
        <v>114</v>
      </c>
      <c r="V79" s="11"/>
    </row>
    <row r="80" spans="1:22">
      <c r="A80" s="7" t="s">
        <v>24</v>
      </c>
      <c r="B80" s="8">
        <v>46086</v>
      </c>
      <c r="C80" s="9">
        <v>0.56041666666666667</v>
      </c>
      <c r="D80" s="8">
        <v>46090</v>
      </c>
      <c r="E80" s="9">
        <v>0.41041666666666665</v>
      </c>
      <c r="F80" s="8"/>
      <c r="G80" s="8"/>
      <c r="H80" s="10"/>
      <c r="I80" s="10" t="s">
        <v>26</v>
      </c>
      <c r="J80" s="10"/>
      <c r="K80" s="10">
        <v>3184730554</v>
      </c>
      <c r="L80" s="10" t="s">
        <v>49</v>
      </c>
      <c r="M80" s="10" t="s">
        <v>72</v>
      </c>
      <c r="N80" s="10"/>
      <c r="O80" s="10"/>
      <c r="P80" s="10" t="s">
        <v>61</v>
      </c>
      <c r="Q80" s="10" t="s">
        <v>62</v>
      </c>
      <c r="R80" s="10"/>
      <c r="S80" s="10"/>
      <c r="T80" s="10"/>
      <c r="U80" s="11"/>
      <c r="V80" s="11"/>
    </row>
    <row r="81" spans="1:22">
      <c r="A81" s="7" t="s">
        <v>24</v>
      </c>
      <c r="B81" s="8">
        <v>46086</v>
      </c>
      <c r="C81" s="9">
        <v>0.61458333333333337</v>
      </c>
      <c r="D81" s="8">
        <v>46086</v>
      </c>
      <c r="E81" s="9">
        <v>0.61944444444444446</v>
      </c>
      <c r="F81" s="8"/>
      <c r="G81" s="8"/>
      <c r="H81" s="10"/>
      <c r="I81" s="10" t="s">
        <v>75</v>
      </c>
      <c r="J81" s="10"/>
      <c r="K81" s="10"/>
      <c r="L81" s="10" t="s">
        <v>75</v>
      </c>
      <c r="M81" s="10" t="s">
        <v>76</v>
      </c>
      <c r="N81" s="10"/>
      <c r="O81" s="10"/>
      <c r="P81" s="10" t="s">
        <v>61</v>
      </c>
      <c r="Q81" s="10" t="s">
        <v>62</v>
      </c>
      <c r="R81" s="10"/>
      <c r="S81" s="10"/>
      <c r="T81" s="10"/>
      <c r="U81" s="11"/>
      <c r="V81" s="11"/>
    </row>
    <row r="82" spans="1:22">
      <c r="A82" s="7" t="s">
        <v>24</v>
      </c>
      <c r="B82" s="8">
        <v>46086</v>
      </c>
      <c r="C82" s="9">
        <v>0.48055555555555557</v>
      </c>
      <c r="D82" s="8">
        <v>46090</v>
      </c>
      <c r="E82" s="9">
        <v>0.40555555555555556</v>
      </c>
      <c r="F82" s="8"/>
      <c r="G82" s="8"/>
      <c r="H82" s="10"/>
      <c r="I82" s="10" t="s">
        <v>75</v>
      </c>
      <c r="J82" s="10"/>
      <c r="K82" s="10"/>
      <c r="L82" s="10" t="s">
        <v>75</v>
      </c>
      <c r="M82" s="10" t="s">
        <v>76</v>
      </c>
      <c r="N82" s="10"/>
      <c r="O82" s="10"/>
      <c r="P82" s="10" t="s">
        <v>61</v>
      </c>
      <c r="Q82" s="10" t="s">
        <v>62</v>
      </c>
      <c r="R82" s="10"/>
      <c r="S82" s="10"/>
      <c r="T82" s="10"/>
      <c r="U82" s="11"/>
      <c r="V82" s="11"/>
    </row>
    <row r="83" spans="1:22">
      <c r="A83" s="7" t="s">
        <v>24</v>
      </c>
      <c r="B83" s="8">
        <v>46086</v>
      </c>
      <c r="C83" s="9">
        <v>0.68472222222222223</v>
      </c>
      <c r="D83" s="8">
        <v>46090</v>
      </c>
      <c r="E83" s="9">
        <v>0.42291666666666666</v>
      </c>
      <c r="F83" s="8"/>
      <c r="G83" s="8"/>
      <c r="H83" s="10" t="s">
        <v>62</v>
      </c>
      <c r="I83" s="10" t="s">
        <v>80</v>
      </c>
      <c r="J83" s="10"/>
      <c r="K83" s="10">
        <v>3143920916</v>
      </c>
      <c r="L83" s="10" t="s">
        <v>81</v>
      </c>
      <c r="M83" s="10" t="s">
        <v>82</v>
      </c>
      <c r="N83" s="10"/>
      <c r="O83" s="10"/>
      <c r="P83" s="10" t="s">
        <v>61</v>
      </c>
      <c r="Q83" s="10" t="s">
        <v>62</v>
      </c>
      <c r="R83" s="10"/>
      <c r="S83" s="10" t="s">
        <v>83</v>
      </c>
      <c r="T83" s="10"/>
      <c r="U83" s="11"/>
      <c r="V83" s="11"/>
    </row>
    <row r="84" spans="1:22">
      <c r="A84" s="7" t="s">
        <v>24</v>
      </c>
      <c r="B84" s="8">
        <v>46087</v>
      </c>
      <c r="C84" s="9">
        <v>0.33333333333333331</v>
      </c>
      <c r="D84" s="8">
        <v>46107</v>
      </c>
      <c r="E84" s="9">
        <v>0.33333333333333331</v>
      </c>
      <c r="F84" s="8">
        <v>46087</v>
      </c>
      <c r="G84" s="8">
        <v>46107</v>
      </c>
      <c r="H84" s="10" t="s">
        <v>140</v>
      </c>
      <c r="I84" s="10" t="s">
        <v>26</v>
      </c>
      <c r="J84" s="10" t="s">
        <v>140</v>
      </c>
      <c r="K84" s="10"/>
      <c r="L84" s="10" t="s">
        <v>27</v>
      </c>
      <c r="M84" s="10" t="s">
        <v>35</v>
      </c>
      <c r="N84" s="10"/>
      <c r="O84" s="10"/>
      <c r="P84" s="10" t="s">
        <v>30</v>
      </c>
      <c r="Q84" s="10" t="s">
        <v>87</v>
      </c>
      <c r="R84" s="10" t="s">
        <v>36</v>
      </c>
      <c r="S84" s="10" t="s">
        <v>50</v>
      </c>
      <c r="T84" s="13">
        <v>100000000</v>
      </c>
      <c r="U84" s="14" t="s">
        <v>114</v>
      </c>
      <c r="V84" s="11"/>
    </row>
    <row r="85" spans="1:22">
      <c r="A85" s="7" t="s">
        <v>24</v>
      </c>
      <c r="B85" s="8">
        <v>46087</v>
      </c>
      <c r="C85" s="9">
        <v>0.33333333333333331</v>
      </c>
      <c r="D85" s="8">
        <v>46097</v>
      </c>
      <c r="E85" s="9">
        <v>0.33333333333333331</v>
      </c>
      <c r="F85" s="8">
        <v>46087</v>
      </c>
      <c r="G85" s="8">
        <v>46097</v>
      </c>
      <c r="H85" s="10" t="s">
        <v>141</v>
      </c>
      <c r="I85" s="10" t="s">
        <v>26</v>
      </c>
      <c r="J85" s="10" t="s">
        <v>141</v>
      </c>
      <c r="K85" s="10"/>
      <c r="L85" s="10" t="s">
        <v>27</v>
      </c>
      <c r="M85" s="10" t="s">
        <v>35</v>
      </c>
      <c r="N85" s="10"/>
      <c r="O85" s="10"/>
      <c r="P85" s="10" t="s">
        <v>30</v>
      </c>
      <c r="Q85" s="10" t="s">
        <v>31</v>
      </c>
      <c r="R85" s="10" t="s">
        <v>126</v>
      </c>
      <c r="S85" s="10" t="s">
        <v>33</v>
      </c>
      <c r="T85" s="10"/>
      <c r="U85" s="11"/>
      <c r="V85" s="11" t="s">
        <v>74</v>
      </c>
    </row>
    <row r="86" spans="1:22">
      <c r="A86" s="7" t="s">
        <v>24</v>
      </c>
      <c r="B86" s="8">
        <v>46087</v>
      </c>
      <c r="C86" s="9">
        <v>0.40694444444444444</v>
      </c>
      <c r="D86" s="8">
        <v>46090</v>
      </c>
      <c r="E86" s="9">
        <v>0.42152777777777778</v>
      </c>
      <c r="F86" s="8"/>
      <c r="G86" s="8"/>
      <c r="H86" s="10" t="s">
        <v>142</v>
      </c>
      <c r="I86" s="10" t="s">
        <v>26</v>
      </c>
      <c r="J86" s="10" t="s">
        <v>142</v>
      </c>
      <c r="K86" s="10"/>
      <c r="L86" s="10" t="s">
        <v>49</v>
      </c>
      <c r="M86" s="10" t="s">
        <v>35</v>
      </c>
      <c r="N86" s="10"/>
      <c r="O86" s="10"/>
      <c r="P86" s="10" t="s">
        <v>61</v>
      </c>
      <c r="Q86" s="10" t="s">
        <v>62</v>
      </c>
      <c r="R86" s="10"/>
      <c r="S86" s="10"/>
      <c r="T86" s="13"/>
      <c r="U86" s="14"/>
      <c r="V86" s="11"/>
    </row>
    <row r="87" spans="1:22">
      <c r="A87" s="7" t="s">
        <v>24</v>
      </c>
      <c r="B87" s="8">
        <v>46087</v>
      </c>
      <c r="C87" s="9">
        <v>0.33333333333333331</v>
      </c>
      <c r="D87" s="8">
        <v>46091</v>
      </c>
      <c r="E87" s="9">
        <v>0.33333333333333331</v>
      </c>
      <c r="F87" s="8">
        <v>46087</v>
      </c>
      <c r="G87" s="8">
        <v>46091</v>
      </c>
      <c r="H87" s="10" t="s">
        <v>143</v>
      </c>
      <c r="I87" s="10" t="s">
        <v>26</v>
      </c>
      <c r="J87" s="10" t="s">
        <v>143</v>
      </c>
      <c r="K87" s="10"/>
      <c r="L87" s="10" t="s">
        <v>49</v>
      </c>
      <c r="M87" s="10" t="s">
        <v>35</v>
      </c>
      <c r="N87" s="10" t="s">
        <v>52</v>
      </c>
      <c r="O87" s="10" t="s">
        <v>144</v>
      </c>
      <c r="P87" s="10" t="s">
        <v>30</v>
      </c>
      <c r="Q87" s="10" t="s">
        <v>66</v>
      </c>
      <c r="R87" s="10" t="s">
        <v>57</v>
      </c>
      <c r="S87" s="10" t="s">
        <v>68</v>
      </c>
      <c r="T87" s="10"/>
      <c r="U87" s="11"/>
      <c r="V87" s="11"/>
    </row>
    <row r="88" spans="1:22">
      <c r="A88" s="7" t="s">
        <v>24</v>
      </c>
      <c r="B88" s="8">
        <v>46087</v>
      </c>
      <c r="C88" s="9">
        <v>0.38611111111111113</v>
      </c>
      <c r="D88" s="8">
        <v>46087</v>
      </c>
      <c r="E88" s="9">
        <v>0.40416666666666667</v>
      </c>
      <c r="F88" s="8"/>
      <c r="G88" s="8"/>
      <c r="H88" s="10"/>
      <c r="I88" s="10" t="s">
        <v>75</v>
      </c>
      <c r="J88" s="10"/>
      <c r="K88" s="10"/>
      <c r="L88" s="10" t="s">
        <v>75</v>
      </c>
      <c r="M88" s="10" t="s">
        <v>76</v>
      </c>
      <c r="N88" s="10"/>
      <c r="O88" s="10"/>
      <c r="P88" s="10" t="s">
        <v>61</v>
      </c>
      <c r="Q88" s="10" t="s">
        <v>62</v>
      </c>
      <c r="R88" s="10"/>
      <c r="S88" s="10"/>
      <c r="T88" s="10"/>
      <c r="U88" s="11"/>
      <c r="V88" s="11"/>
    </row>
    <row r="89" spans="1:22">
      <c r="A89" s="7" t="s">
        <v>24</v>
      </c>
      <c r="B89" s="8">
        <v>46087</v>
      </c>
      <c r="C89" s="9">
        <v>0.41388888888888886</v>
      </c>
      <c r="D89" s="8">
        <v>46090</v>
      </c>
      <c r="E89" s="9">
        <v>0.47708333333333336</v>
      </c>
      <c r="F89" s="8"/>
      <c r="G89" s="8"/>
      <c r="H89" s="10"/>
      <c r="I89" s="10" t="s">
        <v>75</v>
      </c>
      <c r="J89" s="10"/>
      <c r="K89" s="10">
        <v>3332732419</v>
      </c>
      <c r="L89" s="10" t="s">
        <v>75</v>
      </c>
      <c r="M89" s="10" t="s">
        <v>76</v>
      </c>
      <c r="N89" s="10"/>
      <c r="O89" s="10"/>
      <c r="P89" s="10" t="s">
        <v>61</v>
      </c>
      <c r="Q89" s="10" t="s">
        <v>62</v>
      </c>
      <c r="R89" s="10"/>
      <c r="S89" s="10"/>
      <c r="T89" s="10"/>
      <c r="U89" s="11"/>
      <c r="V89" s="11"/>
    </row>
    <row r="90" spans="1:22">
      <c r="A90" s="7" t="s">
        <v>24</v>
      </c>
      <c r="B90" s="8">
        <v>46089</v>
      </c>
      <c r="C90" s="9">
        <v>0.70138888888888884</v>
      </c>
      <c r="D90" s="8">
        <v>46090</v>
      </c>
      <c r="E90" s="9">
        <v>0.43888888888888888</v>
      </c>
      <c r="F90" s="8"/>
      <c r="G90" s="8"/>
      <c r="H90" s="10"/>
      <c r="I90" s="10" t="s">
        <v>26</v>
      </c>
      <c r="J90" s="10"/>
      <c r="K90" s="10">
        <v>3042251944</v>
      </c>
      <c r="L90" s="10" t="s">
        <v>27</v>
      </c>
      <c r="M90" s="10" t="s">
        <v>35</v>
      </c>
      <c r="N90" s="10"/>
      <c r="O90" s="10"/>
      <c r="P90" s="10" t="s">
        <v>61</v>
      </c>
      <c r="Q90" s="10" t="s">
        <v>62</v>
      </c>
      <c r="R90" s="10"/>
      <c r="S90" s="10"/>
      <c r="T90" s="10"/>
      <c r="U90" s="11"/>
      <c r="V90" s="11"/>
    </row>
    <row r="91" spans="1:22">
      <c r="A91" s="7" t="s">
        <v>24</v>
      </c>
      <c r="B91" s="8">
        <v>46090</v>
      </c>
      <c r="C91" s="9">
        <v>0.65625</v>
      </c>
      <c r="D91" s="8">
        <v>46090</v>
      </c>
      <c r="E91" s="9">
        <v>0.66180555555555554</v>
      </c>
      <c r="F91" s="8"/>
      <c r="G91" s="8"/>
      <c r="H91" s="10"/>
      <c r="I91" s="10" t="s">
        <v>26</v>
      </c>
      <c r="J91" s="10"/>
      <c r="K91" s="10" t="s">
        <v>145</v>
      </c>
      <c r="L91" s="10" t="s">
        <v>27</v>
      </c>
      <c r="M91" s="10" t="s">
        <v>35</v>
      </c>
      <c r="N91" s="10"/>
      <c r="O91" s="10"/>
      <c r="P91" s="10" t="s">
        <v>61</v>
      </c>
      <c r="Q91" s="10" t="s">
        <v>62</v>
      </c>
      <c r="R91" s="10"/>
      <c r="S91" s="10"/>
      <c r="T91" s="10"/>
      <c r="U91" s="11"/>
      <c r="V91" s="11"/>
    </row>
    <row r="92" spans="1:22">
      <c r="A92" s="7" t="s">
        <v>24</v>
      </c>
      <c r="B92" s="8">
        <v>46090</v>
      </c>
      <c r="C92" s="9">
        <v>0.33333333333333331</v>
      </c>
      <c r="D92" s="8">
        <v>46090</v>
      </c>
      <c r="E92" s="9">
        <v>0.33333333333333331</v>
      </c>
      <c r="F92" s="8">
        <v>46090</v>
      </c>
      <c r="G92" s="8">
        <v>46090</v>
      </c>
      <c r="H92" s="10" t="s">
        <v>146</v>
      </c>
      <c r="I92" s="10" t="s">
        <v>26</v>
      </c>
      <c r="J92" s="10" t="s">
        <v>146</v>
      </c>
      <c r="K92" s="10"/>
      <c r="L92" s="10" t="s">
        <v>27</v>
      </c>
      <c r="M92" s="10" t="s">
        <v>56</v>
      </c>
      <c r="N92" s="10"/>
      <c r="O92" s="10"/>
      <c r="P92" s="10" t="s">
        <v>30</v>
      </c>
      <c r="Q92" s="10" t="s">
        <v>147</v>
      </c>
      <c r="R92" s="10" t="s">
        <v>126</v>
      </c>
      <c r="S92" s="10" t="s">
        <v>109</v>
      </c>
      <c r="T92" s="10"/>
      <c r="U92" s="11"/>
      <c r="V92" s="11"/>
    </row>
    <row r="93" spans="1:22">
      <c r="A93" s="7" t="s">
        <v>24</v>
      </c>
      <c r="B93" s="8">
        <v>46090</v>
      </c>
      <c r="C93" s="9">
        <v>0.33333333333333331</v>
      </c>
      <c r="D93" s="8">
        <v>46107</v>
      </c>
      <c r="E93" s="9">
        <v>0.33333333333333331</v>
      </c>
      <c r="F93" s="8">
        <v>46090</v>
      </c>
      <c r="G93" s="8">
        <v>46107</v>
      </c>
      <c r="H93" s="10" t="s">
        <v>148</v>
      </c>
      <c r="I93" s="10" t="s">
        <v>26</v>
      </c>
      <c r="J93" s="10" t="s">
        <v>148</v>
      </c>
      <c r="K93" s="10"/>
      <c r="L93" s="10" t="s">
        <v>27</v>
      </c>
      <c r="M93" s="10" t="s">
        <v>65</v>
      </c>
      <c r="N93" s="10"/>
      <c r="O93" s="10"/>
      <c r="P93" s="10" t="s">
        <v>30</v>
      </c>
      <c r="Q93" s="10" t="s">
        <v>66</v>
      </c>
      <c r="R93" s="10" t="s">
        <v>149</v>
      </c>
      <c r="S93" s="10" t="s">
        <v>68</v>
      </c>
      <c r="T93" s="10"/>
      <c r="U93" s="11"/>
      <c r="V93" s="11"/>
    </row>
    <row r="94" spans="1:22">
      <c r="A94" s="7" t="s">
        <v>24</v>
      </c>
      <c r="B94" s="8">
        <v>46090</v>
      </c>
      <c r="C94" s="9">
        <v>0.33333333333333331</v>
      </c>
      <c r="D94" s="8">
        <v>46092</v>
      </c>
      <c r="E94" s="9">
        <v>0.33333333333333331</v>
      </c>
      <c r="F94" s="8">
        <v>46090</v>
      </c>
      <c r="G94" s="8">
        <v>46092</v>
      </c>
      <c r="H94" s="10" t="s">
        <v>150</v>
      </c>
      <c r="I94" s="10" t="s">
        <v>26</v>
      </c>
      <c r="J94" s="10" t="s">
        <v>150</v>
      </c>
      <c r="K94" s="10"/>
      <c r="L94" s="10" t="s">
        <v>27</v>
      </c>
      <c r="M94" s="10" t="s">
        <v>35</v>
      </c>
      <c r="N94" s="10"/>
      <c r="O94" s="10"/>
      <c r="P94" s="10" t="s">
        <v>30</v>
      </c>
      <c r="Q94" s="10" t="s">
        <v>66</v>
      </c>
      <c r="R94" s="10" t="s">
        <v>105</v>
      </c>
      <c r="S94" s="10" t="s">
        <v>68</v>
      </c>
      <c r="T94" s="10"/>
      <c r="U94" s="11"/>
      <c r="V94" s="11"/>
    </row>
    <row r="95" spans="1:22">
      <c r="A95" s="7" t="s">
        <v>24</v>
      </c>
      <c r="B95" s="8">
        <v>46090</v>
      </c>
      <c r="C95" s="9">
        <v>0.33333333333333331</v>
      </c>
      <c r="D95" s="8">
        <v>46098</v>
      </c>
      <c r="E95" s="9">
        <v>0.33333333333333331</v>
      </c>
      <c r="F95" s="8">
        <v>46090</v>
      </c>
      <c r="G95" s="8">
        <v>46098</v>
      </c>
      <c r="H95" s="10" t="s">
        <v>151</v>
      </c>
      <c r="I95" s="10" t="s">
        <v>26</v>
      </c>
      <c r="J95" s="10" t="s">
        <v>151</v>
      </c>
      <c r="K95" s="10"/>
      <c r="L95" s="10" t="s">
        <v>27</v>
      </c>
      <c r="M95" s="10" t="s">
        <v>35</v>
      </c>
      <c r="N95" s="10"/>
      <c r="O95" s="10"/>
      <c r="P95" s="10" t="s">
        <v>30</v>
      </c>
      <c r="Q95" s="10" t="s">
        <v>31</v>
      </c>
      <c r="R95" s="10" t="s">
        <v>126</v>
      </c>
      <c r="S95" s="10" t="s">
        <v>33</v>
      </c>
      <c r="T95" s="10"/>
      <c r="U95" s="11"/>
      <c r="V95" s="11" t="s">
        <v>74</v>
      </c>
    </row>
    <row r="96" spans="1:22">
      <c r="A96" s="7" t="s">
        <v>24</v>
      </c>
      <c r="B96" s="8">
        <v>46090</v>
      </c>
      <c r="C96" s="9">
        <v>0.33333333333333331</v>
      </c>
      <c r="D96" s="8">
        <v>46090</v>
      </c>
      <c r="E96" s="9">
        <v>0.33333333333333331</v>
      </c>
      <c r="F96" s="8">
        <v>46090</v>
      </c>
      <c r="G96" s="8">
        <v>46090</v>
      </c>
      <c r="H96" s="10" t="s">
        <v>146</v>
      </c>
      <c r="I96" s="10" t="s">
        <v>26</v>
      </c>
      <c r="J96" s="10" t="s">
        <v>146</v>
      </c>
      <c r="K96" s="10"/>
      <c r="L96" s="10" t="s">
        <v>27</v>
      </c>
      <c r="M96" s="10" t="s">
        <v>35</v>
      </c>
      <c r="N96" s="10"/>
      <c r="O96" s="10"/>
      <c r="P96" s="10" t="s">
        <v>41</v>
      </c>
      <c r="Q96" s="10" t="s">
        <v>113</v>
      </c>
      <c r="R96" s="10" t="s">
        <v>126</v>
      </c>
      <c r="S96" s="10" t="s">
        <v>50</v>
      </c>
      <c r="T96" s="13">
        <v>50000000</v>
      </c>
      <c r="U96" s="22" t="s">
        <v>114</v>
      </c>
      <c r="V96" s="11"/>
    </row>
    <row r="97" spans="1:24">
      <c r="A97" s="7" t="s">
        <v>24</v>
      </c>
      <c r="B97" s="8">
        <v>46090</v>
      </c>
      <c r="C97" s="9">
        <v>0.33333333333333331</v>
      </c>
      <c r="D97" s="8">
        <v>46098</v>
      </c>
      <c r="E97" s="9">
        <v>0.33333333333333331</v>
      </c>
      <c r="F97" s="8">
        <v>46090</v>
      </c>
      <c r="G97" s="8">
        <v>46098</v>
      </c>
      <c r="H97" s="10" t="s">
        <v>152</v>
      </c>
      <c r="I97" s="10" t="s">
        <v>26</v>
      </c>
      <c r="J97" s="10" t="s">
        <v>152</v>
      </c>
      <c r="K97" s="10"/>
      <c r="L97" s="10" t="s">
        <v>27</v>
      </c>
      <c r="M97" s="10" t="s">
        <v>35</v>
      </c>
      <c r="N97" s="10"/>
      <c r="O97" s="10"/>
      <c r="P97" s="10" t="s">
        <v>41</v>
      </c>
      <c r="Q97" s="10" t="s">
        <v>31</v>
      </c>
      <c r="R97" s="10" t="s">
        <v>126</v>
      </c>
      <c r="S97" s="10" t="s">
        <v>33</v>
      </c>
      <c r="T97" s="10"/>
      <c r="U97" s="11"/>
      <c r="V97" s="11" t="s">
        <v>74</v>
      </c>
    </row>
    <row r="98" spans="1:24">
      <c r="A98" s="7" t="s">
        <v>24</v>
      </c>
      <c r="B98" s="8">
        <v>46090</v>
      </c>
      <c r="C98" s="9">
        <v>0.43402777777777779</v>
      </c>
      <c r="D98" s="8">
        <v>46090</v>
      </c>
      <c r="E98" s="9">
        <v>0.48472222222222222</v>
      </c>
      <c r="F98" s="8"/>
      <c r="G98" s="8"/>
      <c r="H98" s="10"/>
      <c r="I98" s="10" t="s">
        <v>26</v>
      </c>
      <c r="J98" s="10"/>
      <c r="K98" s="10">
        <v>3205232233</v>
      </c>
      <c r="L98" s="10" t="s">
        <v>49</v>
      </c>
      <c r="M98" s="10" t="s">
        <v>72</v>
      </c>
      <c r="N98" s="10"/>
      <c r="O98" s="10"/>
      <c r="P98" s="10" t="s">
        <v>61</v>
      </c>
      <c r="Q98" s="10" t="s">
        <v>62</v>
      </c>
      <c r="R98" s="10"/>
      <c r="S98" s="10"/>
      <c r="T98" s="10"/>
      <c r="U98" s="11"/>
      <c r="V98" s="11"/>
    </row>
    <row r="99" spans="1:24">
      <c r="A99" s="7" t="s">
        <v>24</v>
      </c>
      <c r="B99" s="8">
        <v>46090</v>
      </c>
      <c r="C99" s="9">
        <v>0.40069444444444446</v>
      </c>
      <c r="D99" s="8">
        <v>46090</v>
      </c>
      <c r="E99" s="9">
        <v>0.48055555555555557</v>
      </c>
      <c r="F99" s="8"/>
      <c r="G99" s="8"/>
      <c r="H99" s="10"/>
      <c r="I99" s="10" t="s">
        <v>26</v>
      </c>
      <c r="J99" s="10"/>
      <c r="K99" s="10" t="s">
        <v>153</v>
      </c>
      <c r="L99" s="10" t="s">
        <v>49</v>
      </c>
      <c r="M99" s="10" t="s">
        <v>72</v>
      </c>
      <c r="N99" s="10"/>
      <c r="O99" s="10"/>
      <c r="P99" s="10" t="s">
        <v>61</v>
      </c>
      <c r="Q99" s="10" t="s">
        <v>62</v>
      </c>
      <c r="R99" s="10"/>
      <c r="S99" s="10"/>
      <c r="T99" s="10"/>
      <c r="U99" s="11"/>
      <c r="V99" s="11"/>
    </row>
    <row r="100" spans="1:24">
      <c r="A100" s="7" t="s">
        <v>24</v>
      </c>
      <c r="B100" s="8">
        <v>46090</v>
      </c>
      <c r="C100" s="9">
        <v>0.81874999999999998</v>
      </c>
      <c r="D100" s="8">
        <v>46091</v>
      </c>
      <c r="E100" s="9">
        <v>0.35694444444444445</v>
      </c>
      <c r="F100" s="8"/>
      <c r="G100" s="8"/>
      <c r="H100" s="10"/>
      <c r="I100" s="10" t="s">
        <v>26</v>
      </c>
      <c r="J100" s="10"/>
      <c r="K100" s="10" t="s">
        <v>154</v>
      </c>
      <c r="L100" s="10" t="s">
        <v>49</v>
      </c>
      <c r="M100" s="10" t="s">
        <v>35</v>
      </c>
      <c r="N100" s="10"/>
      <c r="O100" s="10"/>
      <c r="P100" s="10" t="s">
        <v>61</v>
      </c>
      <c r="Q100" s="10" t="s">
        <v>62</v>
      </c>
      <c r="R100" s="10"/>
      <c r="S100" s="10"/>
      <c r="T100" s="10"/>
      <c r="U100" s="11"/>
      <c r="V100" s="11"/>
    </row>
    <row r="101" spans="1:24">
      <c r="A101" s="7" t="s">
        <v>24</v>
      </c>
      <c r="B101" s="8">
        <v>46090</v>
      </c>
      <c r="C101" s="9">
        <v>0.7006944444444444</v>
      </c>
      <c r="D101" s="8">
        <v>46091</v>
      </c>
      <c r="E101" s="9">
        <v>0.35</v>
      </c>
      <c r="F101" s="8"/>
      <c r="G101" s="8"/>
      <c r="H101" s="10"/>
      <c r="I101" s="10" t="s">
        <v>26</v>
      </c>
      <c r="J101" s="10"/>
      <c r="K101" s="10" t="s">
        <v>155</v>
      </c>
      <c r="L101" s="10" t="s">
        <v>49</v>
      </c>
      <c r="M101" s="10" t="s">
        <v>35</v>
      </c>
      <c r="N101" s="10"/>
      <c r="O101" s="10"/>
      <c r="P101" s="10" t="s">
        <v>61</v>
      </c>
      <c r="Q101" s="10" t="s">
        <v>62</v>
      </c>
      <c r="R101" s="10"/>
      <c r="S101" s="10"/>
      <c r="T101" s="10"/>
      <c r="U101" s="11"/>
      <c r="V101" s="11"/>
    </row>
    <row r="102" spans="1:24">
      <c r="A102" s="7" t="s">
        <v>24</v>
      </c>
      <c r="B102" s="8">
        <v>46090</v>
      </c>
      <c r="C102" s="9">
        <v>0.68194444444444446</v>
      </c>
      <c r="D102" s="8">
        <v>46090</v>
      </c>
      <c r="E102" s="9">
        <v>0.68333333333333335</v>
      </c>
      <c r="F102" s="8">
        <v>46090</v>
      </c>
      <c r="G102" s="8">
        <v>46092</v>
      </c>
      <c r="H102" s="10" t="s">
        <v>156</v>
      </c>
      <c r="I102" s="10" t="s">
        <v>26</v>
      </c>
      <c r="J102" s="10" t="s">
        <v>157</v>
      </c>
      <c r="K102" s="10"/>
      <c r="L102" s="10" t="s">
        <v>49</v>
      </c>
      <c r="M102" s="10" t="s">
        <v>35</v>
      </c>
      <c r="N102" s="10"/>
      <c r="O102" s="10"/>
      <c r="P102" s="10" t="s">
        <v>30</v>
      </c>
      <c r="Q102" s="10" t="s">
        <v>66</v>
      </c>
      <c r="R102" s="10" t="s">
        <v>158</v>
      </c>
      <c r="S102" s="10" t="s">
        <v>68</v>
      </c>
      <c r="T102" s="13"/>
      <c r="U102" s="14"/>
      <c r="V102" s="11"/>
    </row>
    <row r="103" spans="1:24">
      <c r="A103" s="7" t="s">
        <v>24</v>
      </c>
      <c r="B103" s="8">
        <v>46090</v>
      </c>
      <c r="C103" s="9">
        <v>0.30416666666666664</v>
      </c>
      <c r="D103" s="8">
        <v>46090</v>
      </c>
      <c r="E103" s="9">
        <v>0.49236111111111114</v>
      </c>
      <c r="F103" s="8">
        <v>46090</v>
      </c>
      <c r="G103" s="8">
        <v>46122</v>
      </c>
      <c r="H103" s="10" t="s">
        <v>159</v>
      </c>
      <c r="I103" s="10" t="s">
        <v>26</v>
      </c>
      <c r="J103" s="10" t="s">
        <v>159</v>
      </c>
      <c r="K103" s="10"/>
      <c r="L103" s="10" t="s">
        <v>49</v>
      </c>
      <c r="M103" s="10" t="s">
        <v>35</v>
      </c>
      <c r="N103" s="10" t="s">
        <v>86</v>
      </c>
      <c r="O103" s="10" t="s">
        <v>160</v>
      </c>
      <c r="P103" s="10" t="s">
        <v>30</v>
      </c>
      <c r="Q103" s="10" t="s">
        <v>31</v>
      </c>
      <c r="R103" s="10" t="s">
        <v>126</v>
      </c>
      <c r="S103" s="10" t="s">
        <v>46</v>
      </c>
      <c r="T103" s="10"/>
      <c r="U103" s="11"/>
      <c r="V103" s="11"/>
    </row>
    <row r="104" spans="1:24">
      <c r="A104" s="7" t="s">
        <v>24</v>
      </c>
      <c r="B104" s="8">
        <v>46090</v>
      </c>
      <c r="C104" s="9">
        <v>0.95972222222222225</v>
      </c>
      <c r="D104" s="8">
        <v>46091</v>
      </c>
      <c r="E104" s="9">
        <v>0.36319444444444443</v>
      </c>
      <c r="F104" s="8"/>
      <c r="G104" s="8"/>
      <c r="H104" s="10" t="s">
        <v>62</v>
      </c>
      <c r="I104" s="10" t="s">
        <v>80</v>
      </c>
      <c r="J104" s="10"/>
      <c r="K104" s="10" t="s">
        <v>161</v>
      </c>
      <c r="L104" s="10" t="s">
        <v>91</v>
      </c>
      <c r="M104" s="10" t="s">
        <v>35</v>
      </c>
      <c r="N104" s="10"/>
      <c r="O104" s="10"/>
      <c r="P104" s="10" t="s">
        <v>61</v>
      </c>
      <c r="Q104" s="10" t="s">
        <v>62</v>
      </c>
      <c r="R104" s="10" t="s">
        <v>92</v>
      </c>
      <c r="S104" s="10" t="s">
        <v>93</v>
      </c>
      <c r="T104" s="10"/>
      <c r="U104" s="11"/>
      <c r="V104" s="11"/>
    </row>
    <row r="105" spans="1:24">
      <c r="A105" s="7" t="s">
        <v>24</v>
      </c>
      <c r="B105" s="8">
        <v>46090</v>
      </c>
      <c r="C105" s="9">
        <v>0.80486111111111114</v>
      </c>
      <c r="D105" s="8">
        <v>46091</v>
      </c>
      <c r="E105" s="9">
        <v>0.35486111111111113</v>
      </c>
      <c r="F105" s="8"/>
      <c r="G105" s="8"/>
      <c r="H105" s="10" t="s">
        <v>62</v>
      </c>
      <c r="I105" s="10" t="s">
        <v>80</v>
      </c>
      <c r="J105" s="10"/>
      <c r="K105" s="10"/>
      <c r="L105" s="10" t="s">
        <v>91</v>
      </c>
      <c r="M105" s="10" t="s">
        <v>35</v>
      </c>
      <c r="N105" s="10"/>
      <c r="O105" s="10"/>
      <c r="P105" s="10" t="s">
        <v>61</v>
      </c>
      <c r="Q105" s="10" t="s">
        <v>62</v>
      </c>
      <c r="R105" s="10" t="s">
        <v>92</v>
      </c>
      <c r="S105" s="10" t="s">
        <v>93</v>
      </c>
      <c r="T105" s="10"/>
      <c r="U105" s="11"/>
      <c r="V105" s="11"/>
    </row>
    <row r="106" spans="1:24">
      <c r="A106" s="7" t="s">
        <v>24</v>
      </c>
      <c r="B106" s="8">
        <v>46090</v>
      </c>
      <c r="C106" s="9">
        <v>0.49513888888888891</v>
      </c>
      <c r="D106" s="8">
        <v>46090</v>
      </c>
      <c r="E106" s="9">
        <v>0.56458333333333333</v>
      </c>
      <c r="F106" s="8"/>
      <c r="G106" s="8"/>
      <c r="H106" s="10" t="s">
        <v>62</v>
      </c>
      <c r="I106" s="10" t="s">
        <v>80</v>
      </c>
      <c r="J106" s="10"/>
      <c r="K106" s="10" t="s">
        <v>162</v>
      </c>
      <c r="L106" s="10" t="s">
        <v>91</v>
      </c>
      <c r="M106" s="10" t="s">
        <v>35</v>
      </c>
      <c r="N106" s="10"/>
      <c r="O106" s="10"/>
      <c r="P106" s="10" t="s">
        <v>61</v>
      </c>
      <c r="Q106" s="10" t="s">
        <v>62</v>
      </c>
      <c r="R106" s="10" t="s">
        <v>92</v>
      </c>
      <c r="S106" s="10" t="s">
        <v>93</v>
      </c>
      <c r="T106" s="10"/>
      <c r="U106" s="11"/>
      <c r="V106" s="11"/>
    </row>
    <row r="107" spans="1:24">
      <c r="A107" s="7" t="s">
        <v>24</v>
      </c>
      <c r="B107" s="8">
        <v>46090</v>
      </c>
      <c r="C107" s="9">
        <v>0.33055555555555555</v>
      </c>
      <c r="D107" s="8">
        <v>46090</v>
      </c>
      <c r="E107" s="9">
        <v>0.43472222222222223</v>
      </c>
      <c r="F107" s="8"/>
      <c r="G107" s="8"/>
      <c r="H107" s="10"/>
      <c r="I107" s="10" t="s">
        <v>75</v>
      </c>
      <c r="J107" s="10"/>
      <c r="K107" s="10">
        <v>3104697297</v>
      </c>
      <c r="L107" s="10" t="s">
        <v>75</v>
      </c>
      <c r="M107" s="10" t="s">
        <v>76</v>
      </c>
      <c r="N107" s="10"/>
      <c r="O107" s="10"/>
      <c r="P107" s="10" t="s">
        <v>61</v>
      </c>
      <c r="Q107" s="10" t="s">
        <v>62</v>
      </c>
      <c r="R107" s="10"/>
      <c r="S107" s="10"/>
      <c r="T107" s="10"/>
      <c r="U107" s="11"/>
      <c r="V107" s="11"/>
    </row>
    <row r="108" spans="1:24">
      <c r="A108" s="7" t="s">
        <v>24</v>
      </c>
      <c r="B108" s="8">
        <v>46090</v>
      </c>
      <c r="C108" s="9">
        <v>0.40347222222222223</v>
      </c>
      <c r="D108" s="8">
        <v>46090</v>
      </c>
      <c r="E108" s="9">
        <v>0.4861111111111111</v>
      </c>
      <c r="F108" s="8"/>
      <c r="G108" s="8"/>
      <c r="H108" s="10"/>
      <c r="I108" s="10" t="s">
        <v>75</v>
      </c>
      <c r="J108" s="10"/>
      <c r="K108" s="10">
        <v>3108620753</v>
      </c>
      <c r="L108" s="10" t="s">
        <v>75</v>
      </c>
      <c r="M108" s="10" t="s">
        <v>76</v>
      </c>
      <c r="N108" s="10"/>
      <c r="O108" s="10"/>
      <c r="P108" s="10" t="s">
        <v>61</v>
      </c>
      <c r="Q108" s="10" t="s">
        <v>62</v>
      </c>
      <c r="R108" s="10"/>
      <c r="S108" s="10"/>
      <c r="T108" s="10"/>
      <c r="U108" s="11"/>
      <c r="V108" s="11"/>
    </row>
    <row r="109" spans="1:24">
      <c r="A109" s="7" t="s">
        <v>24</v>
      </c>
      <c r="B109" s="8">
        <v>46090</v>
      </c>
      <c r="C109" s="9">
        <v>0.65277777777777779</v>
      </c>
      <c r="D109" s="8">
        <v>46090</v>
      </c>
      <c r="E109" s="9">
        <v>0.65416666666666667</v>
      </c>
      <c r="F109" s="8"/>
      <c r="G109" s="8"/>
      <c r="H109" s="10" t="s">
        <v>62</v>
      </c>
      <c r="I109" s="10" t="s">
        <v>80</v>
      </c>
      <c r="J109" s="10"/>
      <c r="K109" s="10" t="s">
        <v>163</v>
      </c>
      <c r="L109" s="10" t="s">
        <v>81</v>
      </c>
      <c r="M109" s="10" t="s">
        <v>82</v>
      </c>
      <c r="N109" s="10"/>
      <c r="O109" s="10"/>
      <c r="P109" s="10" t="s">
        <v>61</v>
      </c>
      <c r="Q109" s="10" t="s">
        <v>62</v>
      </c>
      <c r="R109" s="10"/>
      <c r="S109" s="10" t="s">
        <v>83</v>
      </c>
      <c r="T109" s="10"/>
      <c r="U109" s="11"/>
      <c r="V109" s="11"/>
    </row>
    <row r="110" spans="1:24">
      <c r="A110" s="7" t="s">
        <v>37</v>
      </c>
      <c r="B110" s="8">
        <v>46091</v>
      </c>
      <c r="C110" s="9">
        <v>0.33333333333333331</v>
      </c>
      <c r="D110" s="8">
        <v>45739</v>
      </c>
      <c r="E110" s="9">
        <v>0.33333333333333331</v>
      </c>
      <c r="F110" s="8">
        <v>46091</v>
      </c>
      <c r="G110" s="8">
        <v>45739</v>
      </c>
      <c r="H110" s="10" t="s">
        <v>164</v>
      </c>
      <c r="I110" s="10" t="s">
        <v>165</v>
      </c>
      <c r="J110" s="10" t="s">
        <v>164</v>
      </c>
      <c r="K110" s="10"/>
      <c r="L110" s="10" t="s">
        <v>27</v>
      </c>
      <c r="M110" s="10" t="s">
        <v>35</v>
      </c>
      <c r="N110" s="10" t="s">
        <v>29</v>
      </c>
      <c r="O110" s="10" t="s">
        <v>86</v>
      </c>
      <c r="P110" s="10" t="s">
        <v>109</v>
      </c>
      <c r="Q110" s="10" t="s">
        <v>110</v>
      </c>
      <c r="R110" s="10" t="s">
        <v>32</v>
      </c>
      <c r="S110" s="10" t="s">
        <v>62</v>
      </c>
      <c r="T110" s="10">
        <v>180000000</v>
      </c>
      <c r="U110" s="11" t="s">
        <v>166</v>
      </c>
      <c r="V110" s="11"/>
      <c r="W110" s="12" t="s">
        <v>167</v>
      </c>
      <c r="X110" s="12" t="s">
        <v>167</v>
      </c>
    </row>
    <row r="111" spans="1:24">
      <c r="A111" s="7" t="s">
        <v>24</v>
      </c>
      <c r="B111" s="8">
        <v>46091</v>
      </c>
      <c r="C111" s="9">
        <v>0.43055555555555558</v>
      </c>
      <c r="D111" s="8">
        <v>46091</v>
      </c>
      <c r="E111" s="9">
        <v>0.45694444444444443</v>
      </c>
      <c r="F111" s="8"/>
      <c r="G111" s="8"/>
      <c r="H111" s="10"/>
      <c r="I111" s="10" t="s">
        <v>26</v>
      </c>
      <c r="J111" s="10"/>
      <c r="K111" s="10" t="s">
        <v>168</v>
      </c>
      <c r="L111" s="10" t="s">
        <v>49</v>
      </c>
      <c r="M111" s="10" t="s">
        <v>72</v>
      </c>
      <c r="N111" s="10"/>
      <c r="O111" s="10"/>
      <c r="P111" s="10" t="s">
        <v>61</v>
      </c>
      <c r="Q111" s="10" t="s">
        <v>62</v>
      </c>
      <c r="R111" s="10"/>
      <c r="S111" s="10"/>
      <c r="T111" s="10"/>
      <c r="U111" s="11"/>
      <c r="V111" s="11"/>
    </row>
    <row r="112" spans="1:24">
      <c r="A112" s="7" t="s">
        <v>24</v>
      </c>
      <c r="B112" s="8">
        <v>46091</v>
      </c>
      <c r="C112" s="9">
        <v>0.44166666666666665</v>
      </c>
      <c r="D112" s="8">
        <v>46091</v>
      </c>
      <c r="E112" s="9">
        <v>0.45694444444444443</v>
      </c>
      <c r="F112" s="8"/>
      <c r="G112" s="8"/>
      <c r="H112" s="10"/>
      <c r="I112" s="10" t="s">
        <v>26</v>
      </c>
      <c r="J112" s="10"/>
      <c r="K112" s="10" t="s">
        <v>169</v>
      </c>
      <c r="L112" s="10" t="s">
        <v>49</v>
      </c>
      <c r="M112" s="10" t="s">
        <v>72</v>
      </c>
      <c r="N112" s="10"/>
      <c r="O112" s="10"/>
      <c r="P112" s="10" t="s">
        <v>61</v>
      </c>
      <c r="Q112" s="10" t="s">
        <v>62</v>
      </c>
      <c r="R112" s="10"/>
      <c r="S112" s="10"/>
      <c r="T112" s="10"/>
      <c r="U112" s="11"/>
      <c r="V112" s="11"/>
    </row>
    <row r="113" spans="1:22">
      <c r="A113" s="7" t="s">
        <v>24</v>
      </c>
      <c r="B113" s="8">
        <v>46091</v>
      </c>
      <c r="C113" s="9">
        <v>0.34861111111111109</v>
      </c>
      <c r="D113" s="8">
        <v>46091</v>
      </c>
      <c r="E113" s="9">
        <v>0.36249999999999999</v>
      </c>
      <c r="F113" s="8"/>
      <c r="G113" s="8"/>
      <c r="H113" s="10"/>
      <c r="I113" s="10" t="s">
        <v>26</v>
      </c>
      <c r="J113" s="10"/>
      <c r="K113" s="10"/>
      <c r="L113" s="10" t="s">
        <v>49</v>
      </c>
      <c r="M113" s="10" t="s">
        <v>35</v>
      </c>
      <c r="N113" s="10"/>
      <c r="O113" s="10"/>
      <c r="P113" s="10" t="s">
        <v>61</v>
      </c>
      <c r="Q113" s="10" t="s">
        <v>62</v>
      </c>
      <c r="R113" s="10"/>
      <c r="S113" s="10"/>
      <c r="T113" s="10"/>
      <c r="U113" s="11"/>
      <c r="V113" s="11"/>
    </row>
    <row r="114" spans="1:22">
      <c r="A114" s="7" t="s">
        <v>24</v>
      </c>
      <c r="B114" s="8">
        <v>46091</v>
      </c>
      <c r="C114" s="9">
        <v>0.28541666666666665</v>
      </c>
      <c r="D114" s="8">
        <v>46091</v>
      </c>
      <c r="E114" s="9">
        <v>0.35833333333333334</v>
      </c>
      <c r="F114" s="8"/>
      <c r="G114" s="8"/>
      <c r="H114" s="10" t="s">
        <v>62</v>
      </c>
      <c r="I114" s="10" t="s">
        <v>80</v>
      </c>
      <c r="J114" s="10"/>
      <c r="K114" s="10" t="s">
        <v>170</v>
      </c>
      <c r="L114" s="10" t="s">
        <v>91</v>
      </c>
      <c r="M114" s="10" t="s">
        <v>35</v>
      </c>
      <c r="N114" s="10"/>
      <c r="O114" s="10"/>
      <c r="P114" s="10" t="s">
        <v>61</v>
      </c>
      <c r="Q114" s="10" t="s">
        <v>62</v>
      </c>
      <c r="R114" s="10" t="s">
        <v>92</v>
      </c>
      <c r="S114" s="10" t="s">
        <v>93</v>
      </c>
      <c r="T114" s="10"/>
      <c r="U114" s="11"/>
      <c r="V114" s="11"/>
    </row>
    <row r="115" spans="1:22">
      <c r="A115" s="7" t="s">
        <v>24</v>
      </c>
      <c r="B115" s="8">
        <v>46091</v>
      </c>
      <c r="C115" s="9">
        <v>0.34861111111111109</v>
      </c>
      <c r="D115" s="8">
        <v>46091</v>
      </c>
      <c r="E115" s="9">
        <v>0.36249999999999999</v>
      </c>
      <c r="F115" s="8"/>
      <c r="G115" s="8"/>
      <c r="H115" s="10"/>
      <c r="I115" s="10" t="s">
        <v>75</v>
      </c>
      <c r="J115" s="10"/>
      <c r="K115" s="10" t="s">
        <v>171</v>
      </c>
      <c r="L115" s="10" t="s">
        <v>75</v>
      </c>
      <c r="M115" s="10" t="s">
        <v>76</v>
      </c>
      <c r="N115" s="10"/>
      <c r="O115" s="10"/>
      <c r="P115" s="10" t="s">
        <v>61</v>
      </c>
      <c r="Q115" s="10" t="s">
        <v>62</v>
      </c>
      <c r="R115" s="10"/>
      <c r="S115" s="10"/>
      <c r="T115" s="10"/>
      <c r="U115" s="11"/>
      <c r="V115" s="11"/>
    </row>
    <row r="116" spans="1:22">
      <c r="A116" s="7" t="s">
        <v>24</v>
      </c>
      <c r="B116" s="8">
        <v>46092</v>
      </c>
      <c r="C116" s="9">
        <v>0.44930555555555557</v>
      </c>
      <c r="D116" s="8">
        <v>46094</v>
      </c>
      <c r="E116" s="9">
        <v>0.49027777777777776</v>
      </c>
      <c r="F116" s="8"/>
      <c r="G116" s="8"/>
      <c r="H116" s="10"/>
      <c r="I116" s="10" t="s">
        <v>26</v>
      </c>
      <c r="J116" s="10"/>
      <c r="K116" s="10" t="s">
        <v>172</v>
      </c>
      <c r="L116" s="10" t="s">
        <v>27</v>
      </c>
      <c r="M116" s="10" t="s">
        <v>35</v>
      </c>
      <c r="N116" s="10"/>
      <c r="O116" s="10"/>
      <c r="P116" s="10" t="s">
        <v>61</v>
      </c>
      <c r="Q116" s="10" t="s">
        <v>62</v>
      </c>
      <c r="R116" s="10"/>
      <c r="S116" s="10"/>
      <c r="T116" s="10"/>
      <c r="U116" s="11"/>
      <c r="V116" s="11"/>
    </row>
    <row r="117" spans="1:22">
      <c r="A117" s="7" t="s">
        <v>173</v>
      </c>
      <c r="B117" s="8">
        <v>46092</v>
      </c>
      <c r="C117" s="9">
        <v>0.31527777777777777</v>
      </c>
      <c r="D117" s="8">
        <v>46100</v>
      </c>
      <c r="E117" s="9">
        <v>0.45069444444444445</v>
      </c>
      <c r="F117" s="8"/>
      <c r="G117" s="8"/>
      <c r="H117" s="10" t="s">
        <v>174</v>
      </c>
      <c r="I117" s="10" t="s">
        <v>75</v>
      </c>
      <c r="J117" s="10" t="s">
        <v>174</v>
      </c>
      <c r="K117" s="10"/>
      <c r="L117" s="10" t="s">
        <v>75</v>
      </c>
      <c r="M117" s="10" t="s">
        <v>76</v>
      </c>
      <c r="N117" s="10"/>
      <c r="O117" s="10"/>
      <c r="P117" s="10" t="s">
        <v>61</v>
      </c>
      <c r="Q117" s="10" t="s">
        <v>62</v>
      </c>
      <c r="R117" s="10"/>
      <c r="S117" s="10"/>
      <c r="T117" s="10"/>
      <c r="U117" s="11"/>
      <c r="V117" s="11"/>
    </row>
    <row r="118" spans="1:22">
      <c r="A118" s="7" t="s">
        <v>24</v>
      </c>
      <c r="B118" s="8">
        <v>46092</v>
      </c>
      <c r="C118" s="9">
        <v>0.7055555555555556</v>
      </c>
      <c r="D118" s="8">
        <v>46097</v>
      </c>
      <c r="E118" s="9">
        <v>0.7631944444444444</v>
      </c>
      <c r="F118" s="8"/>
      <c r="G118" s="8"/>
      <c r="H118" s="10" t="s">
        <v>175</v>
      </c>
      <c r="I118" s="10" t="s">
        <v>75</v>
      </c>
      <c r="J118" s="10" t="s">
        <v>175</v>
      </c>
      <c r="K118" s="10"/>
      <c r="L118" s="10" t="s">
        <v>75</v>
      </c>
      <c r="M118" s="10" t="s">
        <v>76</v>
      </c>
      <c r="N118" s="10"/>
      <c r="O118" s="10"/>
      <c r="P118" s="10" t="s">
        <v>61</v>
      </c>
      <c r="Q118" s="10" t="s">
        <v>62</v>
      </c>
      <c r="R118" s="10"/>
      <c r="S118" s="10"/>
      <c r="T118" s="10"/>
      <c r="U118" s="11"/>
      <c r="V118" s="11"/>
    </row>
    <row r="119" spans="1:22">
      <c r="A119" s="7" t="s">
        <v>24</v>
      </c>
      <c r="B119" s="8">
        <v>46092</v>
      </c>
      <c r="C119" s="9">
        <v>0.51597222222222228</v>
      </c>
      <c r="D119" s="8">
        <v>46100</v>
      </c>
      <c r="E119" s="9">
        <v>0.45416666666666666</v>
      </c>
      <c r="F119" s="8"/>
      <c r="G119" s="8"/>
      <c r="H119" s="10" t="s">
        <v>62</v>
      </c>
      <c r="I119" s="10" t="s">
        <v>80</v>
      </c>
      <c r="J119" s="10"/>
      <c r="K119" s="10" t="s">
        <v>176</v>
      </c>
      <c r="L119" s="10" t="s">
        <v>81</v>
      </c>
      <c r="M119" s="10" t="s">
        <v>82</v>
      </c>
      <c r="N119" s="10"/>
      <c r="O119" s="10"/>
      <c r="P119" s="10" t="s">
        <v>61</v>
      </c>
      <c r="Q119" s="10" t="s">
        <v>62</v>
      </c>
      <c r="R119" s="10"/>
      <c r="S119" s="10" t="s">
        <v>83</v>
      </c>
      <c r="T119" s="10"/>
      <c r="U119" s="11"/>
      <c r="V119" s="11"/>
    </row>
    <row r="120" spans="1:22">
      <c r="A120" s="7" t="s">
        <v>37</v>
      </c>
      <c r="B120" s="8">
        <v>46094</v>
      </c>
      <c r="C120" s="9">
        <v>0.33333333333333331</v>
      </c>
      <c r="D120" s="8">
        <v>46100</v>
      </c>
      <c r="E120" s="9">
        <v>0.33333333333333331</v>
      </c>
      <c r="F120" s="8">
        <v>46094</v>
      </c>
      <c r="G120" s="8">
        <v>46132</v>
      </c>
      <c r="H120" s="10" t="s">
        <v>177</v>
      </c>
      <c r="I120" s="10" t="s">
        <v>165</v>
      </c>
      <c r="J120" s="10" t="s">
        <v>177</v>
      </c>
      <c r="K120" s="10"/>
      <c r="L120" s="10" t="s">
        <v>27</v>
      </c>
      <c r="M120" s="10" t="s">
        <v>56</v>
      </c>
      <c r="N120" s="10" t="s">
        <v>60</v>
      </c>
      <c r="O120" s="10" t="s">
        <v>178</v>
      </c>
      <c r="P120" s="10" t="s">
        <v>30</v>
      </c>
      <c r="Q120" s="10" t="s">
        <v>113</v>
      </c>
      <c r="R120" s="10" t="s">
        <v>179</v>
      </c>
      <c r="S120" s="10" t="s">
        <v>50</v>
      </c>
      <c r="T120" s="10"/>
      <c r="U120" s="11"/>
      <c r="V120" s="11"/>
    </row>
    <row r="121" spans="1:22">
      <c r="A121" s="7" t="s">
        <v>37</v>
      </c>
      <c r="B121" s="8">
        <v>46094</v>
      </c>
      <c r="C121" s="9">
        <v>0.33333333333333331</v>
      </c>
      <c r="D121" s="8">
        <v>46100</v>
      </c>
      <c r="E121" s="9">
        <v>0.33333333333333331</v>
      </c>
      <c r="F121" s="8">
        <v>46094</v>
      </c>
      <c r="G121" s="8">
        <v>46132</v>
      </c>
      <c r="H121" s="10" t="s">
        <v>177</v>
      </c>
      <c r="I121" s="10" t="s">
        <v>165</v>
      </c>
      <c r="J121" s="10" t="s">
        <v>177</v>
      </c>
      <c r="K121" s="10"/>
      <c r="L121" s="10" t="s">
        <v>27</v>
      </c>
      <c r="M121" s="10" t="s">
        <v>180</v>
      </c>
      <c r="N121" s="10" t="s">
        <v>178</v>
      </c>
      <c r="O121" s="10" t="s">
        <v>60</v>
      </c>
      <c r="P121" s="10" t="s">
        <v>30</v>
      </c>
      <c r="Q121" s="10" t="s">
        <v>113</v>
      </c>
      <c r="R121" s="10" t="s">
        <v>179</v>
      </c>
      <c r="S121" s="10" t="s">
        <v>50</v>
      </c>
      <c r="T121" s="10"/>
      <c r="U121" s="11"/>
      <c r="V121" s="11"/>
    </row>
    <row r="122" spans="1:22">
      <c r="A122" s="7" t="s">
        <v>24</v>
      </c>
      <c r="B122" s="8">
        <v>46094</v>
      </c>
      <c r="C122" s="9">
        <v>0.2722222222222222</v>
      </c>
      <c r="D122" s="8">
        <v>46094</v>
      </c>
      <c r="E122" s="9">
        <v>0.2722222222222222</v>
      </c>
      <c r="F122" s="8"/>
      <c r="G122" s="8"/>
      <c r="H122" s="10"/>
      <c r="I122" s="10" t="s">
        <v>75</v>
      </c>
      <c r="J122" s="10"/>
      <c r="K122" s="10" t="s">
        <v>181</v>
      </c>
      <c r="L122" s="10" t="s">
        <v>75</v>
      </c>
      <c r="M122" s="10" t="s">
        <v>76</v>
      </c>
      <c r="N122" s="10"/>
      <c r="O122" s="10"/>
      <c r="P122" s="10" t="s">
        <v>61</v>
      </c>
      <c r="Q122" s="10" t="s">
        <v>62</v>
      </c>
      <c r="R122" s="10"/>
      <c r="S122" s="10"/>
      <c r="T122" s="10"/>
      <c r="U122" s="11"/>
      <c r="V122" s="11"/>
    </row>
    <row r="123" spans="1:22">
      <c r="A123" s="7" t="s">
        <v>24</v>
      </c>
      <c r="B123" s="8">
        <v>46094</v>
      </c>
      <c r="C123" s="9">
        <v>0.67152777777777772</v>
      </c>
      <c r="D123" s="8">
        <v>46100</v>
      </c>
      <c r="E123" s="9">
        <v>0.4548611111111111</v>
      </c>
      <c r="F123" s="8"/>
      <c r="G123" s="8"/>
      <c r="H123" s="10"/>
      <c r="I123" s="10" t="s">
        <v>75</v>
      </c>
      <c r="J123" s="10"/>
      <c r="K123" s="10" t="s">
        <v>182</v>
      </c>
      <c r="L123" s="10" t="s">
        <v>75</v>
      </c>
      <c r="M123" s="10" t="s">
        <v>76</v>
      </c>
      <c r="N123" s="10"/>
      <c r="O123" s="10"/>
      <c r="P123" s="10" t="s">
        <v>61</v>
      </c>
      <c r="Q123" s="10" t="s">
        <v>62</v>
      </c>
      <c r="R123" s="10"/>
      <c r="S123" s="10"/>
      <c r="T123" s="10"/>
      <c r="U123" s="11"/>
      <c r="V123" s="11"/>
    </row>
    <row r="124" spans="1:22">
      <c r="A124" s="7" t="s">
        <v>24</v>
      </c>
      <c r="B124" s="8">
        <v>46095</v>
      </c>
      <c r="C124" s="9">
        <v>0.33333333333333331</v>
      </c>
      <c r="D124" s="8">
        <v>46097</v>
      </c>
      <c r="E124" s="9">
        <v>0.33333333333333331</v>
      </c>
      <c r="F124" s="8">
        <v>46095</v>
      </c>
      <c r="G124" s="8">
        <v>46097</v>
      </c>
      <c r="H124" s="10" t="s">
        <v>183</v>
      </c>
      <c r="I124" s="10" t="s">
        <v>26</v>
      </c>
      <c r="J124" s="10" t="s">
        <v>183</v>
      </c>
      <c r="K124" s="10"/>
      <c r="L124" s="10" t="s">
        <v>27</v>
      </c>
      <c r="M124" s="10" t="s">
        <v>56</v>
      </c>
      <c r="N124" s="10"/>
      <c r="O124" s="10"/>
      <c r="P124" s="10" t="s">
        <v>30</v>
      </c>
      <c r="Q124" s="10" t="s">
        <v>66</v>
      </c>
      <c r="R124" s="10" t="s">
        <v>57</v>
      </c>
      <c r="S124" s="10" t="s">
        <v>68</v>
      </c>
      <c r="T124" s="10"/>
      <c r="U124" s="11"/>
      <c r="V124" s="11"/>
    </row>
    <row r="125" spans="1:22">
      <c r="A125" s="7" t="s">
        <v>24</v>
      </c>
      <c r="B125" s="8">
        <v>46095</v>
      </c>
      <c r="C125" s="9">
        <v>0.39791666666666664</v>
      </c>
      <c r="D125" s="8">
        <v>46095</v>
      </c>
      <c r="E125" s="9">
        <v>0.39791666666666664</v>
      </c>
      <c r="F125" s="8"/>
      <c r="G125" s="8"/>
      <c r="H125" s="10"/>
      <c r="I125" s="10" t="s">
        <v>75</v>
      </c>
      <c r="J125" s="10"/>
      <c r="K125" s="10" t="s">
        <v>184</v>
      </c>
      <c r="L125" s="10" t="s">
        <v>75</v>
      </c>
      <c r="M125" s="10" t="s">
        <v>76</v>
      </c>
      <c r="N125" s="10"/>
      <c r="O125" s="10"/>
      <c r="P125" s="10" t="s">
        <v>61</v>
      </c>
      <c r="Q125" s="10" t="s">
        <v>62</v>
      </c>
      <c r="R125" s="10"/>
      <c r="S125" s="10"/>
      <c r="T125" s="10"/>
      <c r="U125" s="11"/>
      <c r="V125" s="11"/>
    </row>
    <row r="126" spans="1:22">
      <c r="A126" s="7" t="s">
        <v>24</v>
      </c>
      <c r="B126" s="8">
        <v>46096</v>
      </c>
      <c r="C126" s="9">
        <v>0.51111111111111107</v>
      </c>
      <c r="D126" s="8">
        <v>46097</v>
      </c>
      <c r="E126" s="9">
        <v>0.50069444444444444</v>
      </c>
      <c r="F126" s="8"/>
      <c r="G126" s="8"/>
      <c r="H126" s="10"/>
      <c r="I126" s="10" t="s">
        <v>26</v>
      </c>
      <c r="J126" s="10"/>
      <c r="K126" s="10" t="s">
        <v>185</v>
      </c>
      <c r="L126" s="10" t="s">
        <v>49</v>
      </c>
      <c r="M126" s="10" t="s">
        <v>72</v>
      </c>
      <c r="N126" s="10"/>
      <c r="O126" s="10"/>
      <c r="P126" s="10" t="s">
        <v>61</v>
      </c>
      <c r="Q126" s="10" t="s">
        <v>62</v>
      </c>
      <c r="R126" s="10"/>
      <c r="S126" s="10"/>
      <c r="T126" s="10"/>
      <c r="U126" s="11"/>
      <c r="V126" s="11"/>
    </row>
    <row r="127" spans="1:22">
      <c r="A127" s="7" t="s">
        <v>24</v>
      </c>
      <c r="B127" s="8">
        <v>46097</v>
      </c>
      <c r="C127" s="9">
        <v>0.50347222222222221</v>
      </c>
      <c r="D127" s="8">
        <v>46097</v>
      </c>
      <c r="E127" s="9">
        <v>0.50347222222222221</v>
      </c>
      <c r="F127" s="8"/>
      <c r="G127" s="8"/>
      <c r="H127" s="10"/>
      <c r="I127" s="10" t="s">
        <v>26</v>
      </c>
      <c r="J127" s="10"/>
      <c r="K127" s="10" t="s">
        <v>186</v>
      </c>
      <c r="L127" s="10" t="s">
        <v>49</v>
      </c>
      <c r="M127" s="10" t="s">
        <v>72</v>
      </c>
      <c r="N127" s="10"/>
      <c r="O127" s="10"/>
      <c r="P127" s="10" t="s">
        <v>61</v>
      </c>
      <c r="Q127" s="10" t="s">
        <v>62</v>
      </c>
      <c r="R127" s="10"/>
      <c r="S127" s="10"/>
      <c r="T127" s="10"/>
      <c r="U127" s="11"/>
      <c r="V127" s="11"/>
    </row>
    <row r="128" spans="1:22">
      <c r="A128" s="7" t="s">
        <v>24</v>
      </c>
      <c r="B128" s="8">
        <v>46097</v>
      </c>
      <c r="C128" s="9">
        <v>0.50347222222222221</v>
      </c>
      <c r="D128" s="8">
        <v>46097</v>
      </c>
      <c r="E128" s="9">
        <v>0.50347222222222221</v>
      </c>
      <c r="F128" s="8"/>
      <c r="G128" s="8"/>
      <c r="H128" s="10"/>
      <c r="I128" s="10" t="s">
        <v>26</v>
      </c>
      <c r="J128" s="10"/>
      <c r="K128" s="10" t="s">
        <v>187</v>
      </c>
      <c r="L128" s="10" t="s">
        <v>49</v>
      </c>
      <c r="M128" s="10" t="s">
        <v>35</v>
      </c>
      <c r="N128" s="10"/>
      <c r="O128" s="10"/>
      <c r="P128" s="10" t="s">
        <v>61</v>
      </c>
      <c r="Q128" s="10" t="s">
        <v>62</v>
      </c>
      <c r="R128" s="10"/>
      <c r="S128" s="10"/>
      <c r="T128" s="10"/>
      <c r="U128" s="11"/>
      <c r="V128" s="11"/>
    </row>
    <row r="129" spans="1:22">
      <c r="A129" s="7" t="s">
        <v>24</v>
      </c>
      <c r="B129" s="8">
        <v>46097</v>
      </c>
      <c r="C129" s="9">
        <v>0.38541666666666669</v>
      </c>
      <c r="D129" s="8">
        <v>46099</v>
      </c>
      <c r="E129" s="9">
        <v>0.48888888888888887</v>
      </c>
      <c r="F129" s="8"/>
      <c r="G129" s="8"/>
      <c r="H129" s="10"/>
      <c r="I129" s="10" t="s">
        <v>26</v>
      </c>
      <c r="J129" s="10"/>
      <c r="K129" s="10" t="s">
        <v>188</v>
      </c>
      <c r="L129" s="10" t="s">
        <v>49</v>
      </c>
      <c r="M129" s="10" t="s">
        <v>35</v>
      </c>
      <c r="N129" s="10"/>
      <c r="O129" s="10"/>
      <c r="P129" s="10" t="s">
        <v>61</v>
      </c>
      <c r="Q129" s="10" t="s">
        <v>62</v>
      </c>
      <c r="R129" s="10"/>
      <c r="S129" s="10"/>
      <c r="T129" s="10"/>
      <c r="U129" s="11"/>
      <c r="V129" s="11"/>
    </row>
    <row r="130" spans="1:22">
      <c r="A130" s="7" t="s">
        <v>24</v>
      </c>
      <c r="B130" s="8">
        <v>46097</v>
      </c>
      <c r="C130" s="9">
        <v>0.56944444444444442</v>
      </c>
      <c r="D130" s="8">
        <v>46106</v>
      </c>
      <c r="E130" s="9">
        <v>0.65902777777777777</v>
      </c>
      <c r="F130" s="8">
        <v>46107</v>
      </c>
      <c r="G130" s="8">
        <v>46107</v>
      </c>
      <c r="H130" s="10" t="s">
        <v>189</v>
      </c>
      <c r="I130" s="10" t="s">
        <v>26</v>
      </c>
      <c r="J130" s="10" t="s">
        <v>189</v>
      </c>
      <c r="K130" s="10"/>
      <c r="L130" s="10" t="s">
        <v>49</v>
      </c>
      <c r="M130" s="10" t="s">
        <v>190</v>
      </c>
      <c r="N130" s="10"/>
      <c r="O130" s="10"/>
      <c r="P130" s="10" t="s">
        <v>30</v>
      </c>
      <c r="Q130" s="10" t="s">
        <v>66</v>
      </c>
      <c r="R130" s="10" t="s">
        <v>36</v>
      </c>
      <c r="S130" s="10" t="s">
        <v>68</v>
      </c>
      <c r="T130" s="10"/>
      <c r="U130" s="11"/>
      <c r="V130" s="11"/>
    </row>
    <row r="131" spans="1:22">
      <c r="A131" s="7" t="s">
        <v>24</v>
      </c>
      <c r="B131" s="8">
        <v>46097</v>
      </c>
      <c r="C131" s="9">
        <v>0.6069444444444444</v>
      </c>
      <c r="D131" s="8">
        <v>46106</v>
      </c>
      <c r="E131" s="9">
        <v>0.65902777777777777</v>
      </c>
      <c r="F131" s="8">
        <v>46107</v>
      </c>
      <c r="G131" s="8">
        <v>46107</v>
      </c>
      <c r="H131" s="10" t="s">
        <v>191</v>
      </c>
      <c r="I131" s="10" t="s">
        <v>26</v>
      </c>
      <c r="J131" s="10" t="s">
        <v>191</v>
      </c>
      <c r="K131" s="10"/>
      <c r="L131" s="10" t="s">
        <v>49</v>
      </c>
      <c r="M131" s="10" t="s">
        <v>56</v>
      </c>
      <c r="N131" s="10"/>
      <c r="O131" s="10"/>
      <c r="P131" s="10" t="s">
        <v>30</v>
      </c>
      <c r="Q131" s="10" t="s">
        <v>31</v>
      </c>
      <c r="R131" s="10" t="s">
        <v>126</v>
      </c>
      <c r="S131" s="10" t="s">
        <v>46</v>
      </c>
      <c r="T131" s="10"/>
      <c r="U131" s="11"/>
      <c r="V131" s="11"/>
    </row>
    <row r="132" spans="1:22">
      <c r="A132" s="7" t="s">
        <v>24</v>
      </c>
      <c r="B132" s="8">
        <v>46097</v>
      </c>
      <c r="C132" s="9">
        <v>0.64444444444444449</v>
      </c>
      <c r="D132" s="8">
        <v>46099</v>
      </c>
      <c r="E132" s="9">
        <v>0.48680555555555555</v>
      </c>
      <c r="F132" s="8"/>
      <c r="G132" s="8"/>
      <c r="H132" s="10" t="s">
        <v>62</v>
      </c>
      <c r="I132" s="10" t="s">
        <v>80</v>
      </c>
      <c r="J132" s="10"/>
      <c r="K132" s="10" t="s">
        <v>192</v>
      </c>
      <c r="L132" s="10" t="s">
        <v>91</v>
      </c>
      <c r="M132" s="10" t="s">
        <v>35</v>
      </c>
      <c r="N132" s="10"/>
      <c r="O132" s="10"/>
      <c r="P132" s="10" t="s">
        <v>61</v>
      </c>
      <c r="Q132" s="10" t="s">
        <v>62</v>
      </c>
      <c r="R132" s="10" t="s">
        <v>92</v>
      </c>
      <c r="S132" s="10" t="s">
        <v>93</v>
      </c>
      <c r="T132" s="10"/>
      <c r="U132" s="11"/>
      <c r="V132" s="11"/>
    </row>
    <row r="133" spans="1:22">
      <c r="A133" s="7" t="s">
        <v>24</v>
      </c>
      <c r="B133" s="8">
        <v>46097</v>
      </c>
      <c r="C133" s="9">
        <v>0.5</v>
      </c>
      <c r="D133" s="8">
        <v>46097</v>
      </c>
      <c r="E133" s="9">
        <v>0.50138888888888888</v>
      </c>
      <c r="F133" s="8"/>
      <c r="G133" s="8"/>
      <c r="H133" s="10" t="s">
        <v>62</v>
      </c>
      <c r="I133" s="10" t="s">
        <v>80</v>
      </c>
      <c r="J133" s="10"/>
      <c r="K133" s="10" t="s">
        <v>193</v>
      </c>
      <c r="L133" s="10" t="s">
        <v>91</v>
      </c>
      <c r="M133" s="10" t="s">
        <v>35</v>
      </c>
      <c r="N133" s="10"/>
      <c r="O133" s="10"/>
      <c r="P133" s="10" t="s">
        <v>61</v>
      </c>
      <c r="Q133" s="10" t="s">
        <v>62</v>
      </c>
      <c r="R133" s="10" t="s">
        <v>92</v>
      </c>
      <c r="S133" s="10" t="s">
        <v>93</v>
      </c>
      <c r="T133" s="10"/>
      <c r="U133" s="11"/>
      <c r="V133" s="11"/>
    </row>
    <row r="134" spans="1:22">
      <c r="A134" s="7" t="s">
        <v>24</v>
      </c>
      <c r="B134" s="8">
        <v>46097</v>
      </c>
      <c r="C134" s="9">
        <v>0.58958333333333335</v>
      </c>
      <c r="D134" s="8">
        <v>46097</v>
      </c>
      <c r="E134" s="9">
        <v>0.58958333333333335</v>
      </c>
      <c r="F134" s="8"/>
      <c r="G134" s="8"/>
      <c r="H134" s="10"/>
      <c r="I134" s="10" t="s">
        <v>75</v>
      </c>
      <c r="J134" s="10"/>
      <c r="K134" s="10"/>
      <c r="L134" s="10" t="s">
        <v>75</v>
      </c>
      <c r="M134" s="10" t="s">
        <v>76</v>
      </c>
      <c r="N134" s="10"/>
      <c r="O134" s="10"/>
      <c r="P134" s="10" t="s">
        <v>61</v>
      </c>
      <c r="Q134" s="10" t="s">
        <v>62</v>
      </c>
      <c r="R134" s="10"/>
      <c r="S134" s="10"/>
      <c r="T134" s="10"/>
      <c r="U134" s="11"/>
      <c r="V134" s="11"/>
    </row>
    <row r="135" spans="1:22">
      <c r="A135" s="7" t="s">
        <v>24</v>
      </c>
      <c r="B135" s="8">
        <v>46097</v>
      </c>
      <c r="C135" s="9">
        <v>0.69722222222222219</v>
      </c>
      <c r="D135" s="8">
        <v>46097</v>
      </c>
      <c r="E135" s="9">
        <v>0.69722222222222219</v>
      </c>
      <c r="F135" s="8"/>
      <c r="G135" s="8"/>
      <c r="H135" s="10"/>
      <c r="I135" s="10" t="s">
        <v>75</v>
      </c>
      <c r="J135" s="10"/>
      <c r="K135" s="10" t="s">
        <v>194</v>
      </c>
      <c r="L135" s="10" t="s">
        <v>75</v>
      </c>
      <c r="M135" s="10" t="s">
        <v>76</v>
      </c>
      <c r="N135" s="10"/>
      <c r="O135" s="10"/>
      <c r="P135" s="10" t="s">
        <v>61</v>
      </c>
      <c r="Q135" s="10" t="s">
        <v>62</v>
      </c>
      <c r="R135" s="10"/>
      <c r="S135" s="10"/>
      <c r="T135" s="10"/>
      <c r="U135" s="11"/>
      <c r="V135" s="11"/>
    </row>
    <row r="136" spans="1:22">
      <c r="A136" s="7" t="s">
        <v>24</v>
      </c>
      <c r="B136" s="8">
        <v>46097</v>
      </c>
      <c r="C136" s="9">
        <v>0.69374999999999998</v>
      </c>
      <c r="D136" s="8">
        <v>46099</v>
      </c>
      <c r="E136" s="9">
        <v>0.65833333333333333</v>
      </c>
      <c r="F136" s="8"/>
      <c r="G136" s="8"/>
      <c r="H136" s="10"/>
      <c r="I136" s="10" t="s">
        <v>75</v>
      </c>
      <c r="J136" s="10"/>
      <c r="K136" s="10" t="s">
        <v>195</v>
      </c>
      <c r="L136" s="10" t="s">
        <v>75</v>
      </c>
      <c r="M136" s="10" t="s">
        <v>76</v>
      </c>
      <c r="N136" s="10"/>
      <c r="O136" s="10"/>
      <c r="P136" s="10" t="s">
        <v>61</v>
      </c>
      <c r="Q136" s="10" t="s">
        <v>62</v>
      </c>
      <c r="R136" s="10"/>
      <c r="S136" s="10"/>
      <c r="T136" s="10"/>
      <c r="U136" s="11"/>
      <c r="V136" s="11"/>
    </row>
    <row r="137" spans="1:22">
      <c r="A137" s="7" t="s">
        <v>24</v>
      </c>
      <c r="B137" s="8">
        <v>46097</v>
      </c>
      <c r="C137" s="9">
        <v>0.56180555555555556</v>
      </c>
      <c r="D137" s="8">
        <v>46100</v>
      </c>
      <c r="E137" s="9">
        <v>0.48958333333333331</v>
      </c>
      <c r="F137" s="8"/>
      <c r="G137" s="8"/>
      <c r="H137" s="10" t="s">
        <v>62</v>
      </c>
      <c r="I137" s="10" t="s">
        <v>80</v>
      </c>
      <c r="J137" s="10"/>
      <c r="K137" s="10" t="s">
        <v>196</v>
      </c>
      <c r="L137" s="10" t="s">
        <v>81</v>
      </c>
      <c r="M137" s="10" t="s">
        <v>82</v>
      </c>
      <c r="N137" s="10"/>
      <c r="O137" s="10"/>
      <c r="P137" s="10" t="s">
        <v>61</v>
      </c>
      <c r="Q137" s="10" t="s">
        <v>62</v>
      </c>
      <c r="R137" s="10"/>
      <c r="S137" s="10" t="s">
        <v>83</v>
      </c>
      <c r="T137" s="10"/>
      <c r="U137" s="11"/>
      <c r="V137" s="11"/>
    </row>
    <row r="138" spans="1:22">
      <c r="A138" s="7" t="s">
        <v>24</v>
      </c>
      <c r="B138" s="8">
        <v>46098</v>
      </c>
      <c r="C138" s="9">
        <v>0.45833333333333331</v>
      </c>
      <c r="D138" s="8">
        <v>46106</v>
      </c>
      <c r="E138" s="9">
        <v>0.65277777777777779</v>
      </c>
      <c r="F138" s="8">
        <v>46106</v>
      </c>
      <c r="G138" s="8">
        <v>46108</v>
      </c>
      <c r="H138" s="10" t="s">
        <v>197</v>
      </c>
      <c r="I138" s="10" t="s">
        <v>26</v>
      </c>
      <c r="J138" s="10" t="s">
        <v>197</v>
      </c>
      <c r="K138" s="10"/>
      <c r="L138" s="10" t="s">
        <v>27</v>
      </c>
      <c r="M138" s="10" t="s">
        <v>65</v>
      </c>
      <c r="N138" s="10"/>
      <c r="O138" s="10"/>
      <c r="P138" s="10" t="s">
        <v>30</v>
      </c>
      <c r="Q138" s="10" t="s">
        <v>66</v>
      </c>
      <c r="R138" s="10" t="s">
        <v>158</v>
      </c>
      <c r="S138" s="10" t="s">
        <v>68</v>
      </c>
      <c r="T138" s="10"/>
      <c r="U138" s="11"/>
      <c r="V138" s="11"/>
    </row>
    <row r="139" spans="1:22">
      <c r="A139" s="7" t="s">
        <v>24</v>
      </c>
      <c r="B139" s="8">
        <v>46098</v>
      </c>
      <c r="C139" s="9">
        <v>0.6958333333333333</v>
      </c>
      <c r="D139" s="8">
        <v>46099</v>
      </c>
      <c r="E139" s="9">
        <v>0.47986111111111113</v>
      </c>
      <c r="F139" s="8"/>
      <c r="G139" s="8"/>
      <c r="H139" s="10"/>
      <c r="I139" s="10" t="s">
        <v>26</v>
      </c>
      <c r="J139" s="10"/>
      <c r="K139" s="10" t="s">
        <v>198</v>
      </c>
      <c r="L139" s="10" t="s">
        <v>49</v>
      </c>
      <c r="M139" s="10" t="s">
        <v>72</v>
      </c>
      <c r="N139" s="10"/>
      <c r="O139" s="10"/>
      <c r="P139" s="10" t="s">
        <v>61</v>
      </c>
      <c r="Q139" s="10" t="s">
        <v>62</v>
      </c>
      <c r="R139" s="10"/>
      <c r="S139" s="10"/>
      <c r="T139" s="10"/>
      <c r="U139" s="11"/>
      <c r="V139" s="11"/>
    </row>
    <row r="140" spans="1:22">
      <c r="A140" s="7" t="s">
        <v>24</v>
      </c>
      <c r="B140" s="8">
        <v>46098</v>
      </c>
      <c r="C140" s="9">
        <v>0.40694444444444444</v>
      </c>
      <c r="D140" s="8">
        <v>46099</v>
      </c>
      <c r="E140" s="9">
        <v>0.4861111111111111</v>
      </c>
      <c r="F140" s="8"/>
      <c r="G140" s="8"/>
      <c r="H140" s="10" t="s">
        <v>62</v>
      </c>
      <c r="I140" s="10" t="s">
        <v>80</v>
      </c>
      <c r="J140" s="10"/>
      <c r="K140" s="10" t="s">
        <v>199</v>
      </c>
      <c r="L140" s="10" t="s">
        <v>91</v>
      </c>
      <c r="M140" s="10" t="s">
        <v>35</v>
      </c>
      <c r="N140" s="10"/>
      <c r="O140" s="10"/>
      <c r="P140" s="10" t="s">
        <v>61</v>
      </c>
      <c r="Q140" s="10" t="s">
        <v>62</v>
      </c>
      <c r="R140" s="10" t="s">
        <v>92</v>
      </c>
      <c r="S140" s="10" t="s">
        <v>93</v>
      </c>
      <c r="T140" s="10"/>
      <c r="U140" s="11"/>
      <c r="V140" s="11"/>
    </row>
    <row r="141" spans="1:22">
      <c r="A141" s="7" t="s">
        <v>24</v>
      </c>
      <c r="B141" s="8">
        <v>46098</v>
      </c>
      <c r="C141" s="9">
        <v>0.36458333333333331</v>
      </c>
      <c r="D141" s="8">
        <v>46099</v>
      </c>
      <c r="E141" s="9">
        <v>0.58750000000000002</v>
      </c>
      <c r="F141" s="8"/>
      <c r="G141" s="8"/>
      <c r="H141" s="10"/>
      <c r="I141" s="10" t="s">
        <v>75</v>
      </c>
      <c r="J141" s="10"/>
      <c r="K141" s="10" t="s">
        <v>200</v>
      </c>
      <c r="L141" s="10" t="s">
        <v>75</v>
      </c>
      <c r="M141" s="10" t="s">
        <v>76</v>
      </c>
      <c r="N141" s="10"/>
      <c r="O141" s="10"/>
      <c r="P141" s="10" t="s">
        <v>61</v>
      </c>
      <c r="Q141" s="10" t="s">
        <v>62</v>
      </c>
      <c r="R141" s="10"/>
      <c r="S141" s="10"/>
      <c r="T141" s="10"/>
      <c r="U141" s="11"/>
      <c r="V141" s="11"/>
    </row>
    <row r="142" spans="1:22">
      <c r="A142" s="7" t="s">
        <v>24</v>
      </c>
      <c r="B142" s="8">
        <v>46098</v>
      </c>
      <c r="C142" s="9">
        <v>0.44236111111111109</v>
      </c>
      <c r="D142" s="8">
        <v>46106</v>
      </c>
      <c r="E142" s="9">
        <v>0.65694444444444444</v>
      </c>
      <c r="F142" s="8"/>
      <c r="G142" s="8"/>
      <c r="H142" s="10" t="s">
        <v>62</v>
      </c>
      <c r="I142" s="10" t="s">
        <v>80</v>
      </c>
      <c r="J142" s="10"/>
      <c r="K142" s="10"/>
      <c r="L142" s="10" t="s">
        <v>81</v>
      </c>
      <c r="M142" s="10" t="s">
        <v>82</v>
      </c>
      <c r="N142" s="10"/>
      <c r="O142" s="10"/>
      <c r="P142" s="10" t="s">
        <v>61</v>
      </c>
      <c r="Q142" s="10" t="s">
        <v>62</v>
      </c>
      <c r="R142" s="10"/>
      <c r="S142" s="10" t="s">
        <v>83</v>
      </c>
      <c r="T142" s="10"/>
      <c r="U142" s="11"/>
      <c r="V142" s="11"/>
    </row>
    <row r="143" spans="1:22">
      <c r="A143" s="7" t="s">
        <v>173</v>
      </c>
      <c r="B143" s="8">
        <v>46099</v>
      </c>
      <c r="C143" s="9">
        <v>0.40694444444444444</v>
      </c>
      <c r="D143" s="8">
        <v>46099</v>
      </c>
      <c r="E143" s="9">
        <v>0.47638888888888886</v>
      </c>
      <c r="F143" s="8"/>
      <c r="G143" s="8"/>
      <c r="H143" s="10" t="s">
        <v>201</v>
      </c>
      <c r="I143" s="10" t="s">
        <v>26</v>
      </c>
      <c r="J143" s="10" t="s">
        <v>201</v>
      </c>
      <c r="K143" s="10"/>
      <c r="L143" s="10" t="s">
        <v>27</v>
      </c>
      <c r="M143" s="10" t="s">
        <v>89</v>
      </c>
      <c r="N143" s="10"/>
      <c r="O143" s="10"/>
      <c r="P143" s="10" t="s">
        <v>61</v>
      </c>
      <c r="Q143" s="10" t="s">
        <v>62</v>
      </c>
      <c r="R143" s="10"/>
      <c r="S143" s="10"/>
      <c r="T143" s="10"/>
      <c r="U143" s="11"/>
      <c r="V143" s="11"/>
    </row>
    <row r="144" spans="1:22">
      <c r="A144" s="7" t="s">
        <v>24</v>
      </c>
      <c r="B144" s="8">
        <v>46099</v>
      </c>
      <c r="C144" s="9">
        <v>0.67291666666666672</v>
      </c>
      <c r="D144" s="8">
        <v>46099</v>
      </c>
      <c r="E144" s="9">
        <v>0.67291666666666672</v>
      </c>
      <c r="F144" s="8">
        <v>46107</v>
      </c>
      <c r="G144" s="8">
        <v>46107</v>
      </c>
      <c r="H144" s="10" t="s">
        <v>202</v>
      </c>
      <c r="I144" s="10" t="s">
        <v>26</v>
      </c>
      <c r="J144" s="10" t="s">
        <v>203</v>
      </c>
      <c r="K144" s="10"/>
      <c r="L144" s="10" t="s">
        <v>27</v>
      </c>
      <c r="M144" s="10" t="s">
        <v>35</v>
      </c>
      <c r="N144" s="10"/>
      <c r="O144" s="10"/>
      <c r="P144" s="10" t="s">
        <v>30</v>
      </c>
      <c r="Q144" s="10" t="s">
        <v>66</v>
      </c>
      <c r="R144" s="10" t="s">
        <v>36</v>
      </c>
      <c r="S144" s="10" t="s">
        <v>68</v>
      </c>
      <c r="T144" s="13"/>
      <c r="U144" s="14"/>
      <c r="V144" s="11"/>
    </row>
    <row r="145" spans="1:22">
      <c r="A145" s="7" t="s">
        <v>24</v>
      </c>
      <c r="B145" s="8">
        <v>46099</v>
      </c>
      <c r="C145" s="9">
        <v>0.4861111111111111</v>
      </c>
      <c r="D145" s="8">
        <v>46106</v>
      </c>
      <c r="E145" s="9">
        <v>0.65486111111111112</v>
      </c>
      <c r="F145" s="8"/>
      <c r="G145" s="8"/>
      <c r="H145" s="10" t="s">
        <v>204</v>
      </c>
      <c r="I145" s="10" t="s">
        <v>26</v>
      </c>
      <c r="J145" s="10" t="s">
        <v>204</v>
      </c>
      <c r="K145" s="10"/>
      <c r="L145" s="10" t="s">
        <v>49</v>
      </c>
      <c r="M145" s="10" t="s">
        <v>56</v>
      </c>
      <c r="N145" s="10"/>
      <c r="O145" s="10"/>
      <c r="P145" s="10" t="s">
        <v>61</v>
      </c>
      <c r="Q145" s="10" t="s">
        <v>62</v>
      </c>
      <c r="R145" s="10"/>
      <c r="S145" s="10"/>
      <c r="T145" s="10"/>
      <c r="U145" s="11"/>
      <c r="V145" s="11"/>
    </row>
    <row r="146" spans="1:22">
      <c r="A146" s="7" t="s">
        <v>24</v>
      </c>
      <c r="B146" s="8">
        <v>46099</v>
      </c>
      <c r="C146" s="9">
        <v>0.40416666666666667</v>
      </c>
      <c r="D146" s="8">
        <v>46099</v>
      </c>
      <c r="E146" s="9">
        <v>0.47986111111111113</v>
      </c>
      <c r="F146" s="8"/>
      <c r="G146" s="8"/>
      <c r="H146" s="10"/>
      <c r="I146" s="10" t="s">
        <v>26</v>
      </c>
      <c r="J146" s="10"/>
      <c r="K146" s="10" t="s">
        <v>205</v>
      </c>
      <c r="L146" s="10" t="s">
        <v>49</v>
      </c>
      <c r="M146" s="10" t="s">
        <v>72</v>
      </c>
      <c r="N146" s="10"/>
      <c r="O146" s="10"/>
      <c r="P146" s="10" t="s">
        <v>61</v>
      </c>
      <c r="Q146" s="10" t="s">
        <v>62</v>
      </c>
      <c r="R146" s="10"/>
      <c r="S146" s="10"/>
      <c r="T146" s="10"/>
      <c r="U146" s="19"/>
      <c r="V146" s="11"/>
    </row>
    <row r="147" spans="1:22">
      <c r="A147" s="7" t="s">
        <v>24</v>
      </c>
      <c r="B147" s="8">
        <v>46099</v>
      </c>
      <c r="C147" s="9">
        <v>0.56041666666666667</v>
      </c>
      <c r="D147" s="8">
        <v>46099</v>
      </c>
      <c r="E147" s="9">
        <v>0.56041666666666667</v>
      </c>
      <c r="F147" s="8"/>
      <c r="G147" s="8"/>
      <c r="H147" s="10"/>
      <c r="I147" s="10" t="s">
        <v>26</v>
      </c>
      <c r="J147" s="10"/>
      <c r="K147" s="10" t="s">
        <v>206</v>
      </c>
      <c r="L147" s="10" t="s">
        <v>49</v>
      </c>
      <c r="M147" s="10" t="s">
        <v>72</v>
      </c>
      <c r="N147" s="10"/>
      <c r="O147" s="10"/>
      <c r="P147" s="10" t="s">
        <v>61</v>
      </c>
      <c r="Q147" s="10" t="s">
        <v>62</v>
      </c>
      <c r="R147" s="10"/>
      <c r="S147" s="10"/>
      <c r="T147" s="10"/>
      <c r="U147" s="11"/>
      <c r="V147" s="11"/>
    </row>
    <row r="148" spans="1:22">
      <c r="A148" s="7" t="s">
        <v>24</v>
      </c>
      <c r="B148" s="8">
        <v>46099</v>
      </c>
      <c r="C148" s="9">
        <v>0.69374999999999998</v>
      </c>
      <c r="D148" s="8">
        <v>46106</v>
      </c>
      <c r="E148" s="9">
        <v>0.65833333333333333</v>
      </c>
      <c r="F148" s="8"/>
      <c r="G148" s="8"/>
      <c r="H148" s="10"/>
      <c r="I148" s="10" t="s">
        <v>26</v>
      </c>
      <c r="J148" s="10"/>
      <c r="K148" s="10" t="s">
        <v>195</v>
      </c>
      <c r="L148" s="10" t="s">
        <v>49</v>
      </c>
      <c r="M148" s="10" t="s">
        <v>35</v>
      </c>
      <c r="N148" s="10"/>
      <c r="O148" s="10"/>
      <c r="P148" s="10" t="s">
        <v>61</v>
      </c>
      <c r="Q148" s="10" t="s">
        <v>62</v>
      </c>
      <c r="R148" s="10"/>
      <c r="S148" s="10"/>
      <c r="T148" s="10"/>
      <c r="U148" s="11"/>
      <c r="V148" s="11"/>
    </row>
    <row r="149" spans="1:22">
      <c r="A149" s="7" t="s">
        <v>24</v>
      </c>
      <c r="B149" s="8">
        <v>46099</v>
      </c>
      <c r="C149" s="9">
        <v>0.43402777777777779</v>
      </c>
      <c r="D149" s="8">
        <v>46100</v>
      </c>
      <c r="E149" s="9">
        <v>0.51388888888888884</v>
      </c>
      <c r="F149" s="8">
        <v>46100</v>
      </c>
      <c r="G149" s="8">
        <v>46102</v>
      </c>
      <c r="H149" s="10" t="s">
        <v>207</v>
      </c>
      <c r="I149" s="10" t="s">
        <v>26</v>
      </c>
      <c r="J149" s="10" t="s">
        <v>207</v>
      </c>
      <c r="K149" s="10"/>
      <c r="L149" s="10" t="s">
        <v>49</v>
      </c>
      <c r="M149" s="10" t="s">
        <v>56</v>
      </c>
      <c r="N149" s="10"/>
      <c r="O149" s="10"/>
      <c r="P149" s="10" t="s">
        <v>30</v>
      </c>
      <c r="Q149" s="10" t="s">
        <v>66</v>
      </c>
      <c r="R149" s="10" t="s">
        <v>36</v>
      </c>
      <c r="S149" s="10" t="s">
        <v>68</v>
      </c>
      <c r="T149" s="13"/>
      <c r="U149" s="14"/>
      <c r="V149" s="11"/>
    </row>
    <row r="150" spans="1:22">
      <c r="A150" s="7" t="s">
        <v>24</v>
      </c>
      <c r="B150" s="8">
        <v>46099</v>
      </c>
      <c r="C150" s="9">
        <v>0.53611111111111109</v>
      </c>
      <c r="D150" s="8">
        <v>46100</v>
      </c>
      <c r="E150" s="9">
        <v>0.43680555555555556</v>
      </c>
      <c r="F150" s="8"/>
      <c r="G150" s="8"/>
      <c r="H150" s="10" t="s">
        <v>62</v>
      </c>
      <c r="I150" s="10" t="s">
        <v>80</v>
      </c>
      <c r="J150" s="10"/>
      <c r="K150" s="10" t="s">
        <v>208</v>
      </c>
      <c r="L150" s="10" t="s">
        <v>91</v>
      </c>
      <c r="M150" s="10" t="s">
        <v>35</v>
      </c>
      <c r="N150" s="10"/>
      <c r="O150" s="10"/>
      <c r="P150" s="10" t="s">
        <v>61</v>
      </c>
      <c r="Q150" s="10" t="s">
        <v>62</v>
      </c>
      <c r="R150" s="10" t="s">
        <v>92</v>
      </c>
      <c r="S150" s="10" t="s">
        <v>93</v>
      </c>
      <c r="T150" s="10"/>
      <c r="U150" s="11"/>
      <c r="V150" s="11"/>
    </row>
    <row r="151" spans="1:22">
      <c r="A151" s="7" t="s">
        <v>24</v>
      </c>
      <c r="B151" s="8">
        <v>46099</v>
      </c>
      <c r="C151" s="9">
        <v>0.34652777777777777</v>
      </c>
      <c r="D151" s="8">
        <v>46099</v>
      </c>
      <c r="E151" s="9">
        <v>0.44097222222222221</v>
      </c>
      <c r="F151" s="8"/>
      <c r="G151" s="8"/>
      <c r="H151" s="10"/>
      <c r="I151" s="10" t="s">
        <v>75</v>
      </c>
      <c r="J151" s="10"/>
      <c r="K151" s="10" t="s">
        <v>209</v>
      </c>
      <c r="L151" s="10" t="s">
        <v>75</v>
      </c>
      <c r="M151" s="10" t="s">
        <v>76</v>
      </c>
      <c r="N151" s="10"/>
      <c r="O151" s="10"/>
      <c r="P151" s="10" t="s">
        <v>61</v>
      </c>
      <c r="Q151" s="10" t="s">
        <v>62</v>
      </c>
      <c r="R151" s="10"/>
      <c r="S151" s="10"/>
      <c r="T151" s="10"/>
      <c r="U151" s="11"/>
      <c r="V151" s="11"/>
    </row>
    <row r="152" spans="1:22">
      <c r="A152" s="7" t="s">
        <v>24</v>
      </c>
      <c r="B152" s="8">
        <v>46100</v>
      </c>
      <c r="C152" s="9">
        <v>0.67291666666666672</v>
      </c>
      <c r="D152" s="8">
        <v>46101</v>
      </c>
      <c r="E152" s="9">
        <v>0.46458333333333335</v>
      </c>
      <c r="F152" s="8">
        <v>46101</v>
      </c>
      <c r="G152" s="8">
        <v>46106</v>
      </c>
      <c r="H152" s="10" t="s">
        <v>210</v>
      </c>
      <c r="I152" s="10" t="s">
        <v>26</v>
      </c>
      <c r="J152" s="10" t="s">
        <v>210</v>
      </c>
      <c r="K152" s="10"/>
      <c r="L152" s="10" t="s">
        <v>27</v>
      </c>
      <c r="M152" s="10" t="s">
        <v>35</v>
      </c>
      <c r="N152" s="10"/>
      <c r="O152" s="10"/>
      <c r="P152" s="10" t="s">
        <v>30</v>
      </c>
      <c r="Q152" s="10" t="s">
        <v>31</v>
      </c>
      <c r="R152" s="10" t="s">
        <v>126</v>
      </c>
      <c r="S152" s="10" t="s">
        <v>33</v>
      </c>
      <c r="T152" s="13"/>
      <c r="U152" s="14"/>
      <c r="V152" s="11" t="s">
        <v>74</v>
      </c>
    </row>
    <row r="153" spans="1:22">
      <c r="A153" s="7" t="s">
        <v>24</v>
      </c>
      <c r="B153" s="8">
        <v>46100</v>
      </c>
      <c r="C153" s="9">
        <v>0.33333333333333331</v>
      </c>
      <c r="D153" s="8">
        <v>46106</v>
      </c>
      <c r="E153" s="9">
        <v>0.33333333333333331</v>
      </c>
      <c r="F153" s="8">
        <v>46100</v>
      </c>
      <c r="G153" s="8">
        <v>46106</v>
      </c>
      <c r="H153" s="10" t="s">
        <v>211</v>
      </c>
      <c r="I153" s="10" t="s">
        <v>26</v>
      </c>
      <c r="J153" s="10" t="s">
        <v>211</v>
      </c>
      <c r="K153" s="10"/>
      <c r="L153" s="10" t="s">
        <v>27</v>
      </c>
      <c r="M153" s="10" t="s">
        <v>35</v>
      </c>
      <c r="N153" s="10"/>
      <c r="O153" s="10"/>
      <c r="P153" s="10" t="s">
        <v>212</v>
      </c>
      <c r="Q153" s="10" t="s">
        <v>87</v>
      </c>
      <c r="R153" s="10" t="s">
        <v>126</v>
      </c>
      <c r="S153" s="10" t="s">
        <v>50</v>
      </c>
      <c r="T153" s="13">
        <v>100000000</v>
      </c>
      <c r="U153" s="14" t="s">
        <v>114</v>
      </c>
      <c r="V153" s="11"/>
    </row>
    <row r="154" spans="1:22">
      <c r="A154" s="7" t="s">
        <v>24</v>
      </c>
      <c r="B154" s="8">
        <v>46100</v>
      </c>
      <c r="C154" s="9">
        <v>0.48541666666666666</v>
      </c>
      <c r="D154" s="8">
        <v>46100</v>
      </c>
      <c r="E154" s="9">
        <v>0.48819444444444443</v>
      </c>
      <c r="F154" s="8"/>
      <c r="G154" s="8"/>
      <c r="H154" s="10"/>
      <c r="I154" s="10" t="s">
        <v>26</v>
      </c>
      <c r="J154" s="10"/>
      <c r="K154" s="10" t="s">
        <v>213</v>
      </c>
      <c r="L154" s="10" t="s">
        <v>49</v>
      </c>
      <c r="M154" s="10" t="s">
        <v>72</v>
      </c>
      <c r="N154" s="10"/>
      <c r="O154" s="10"/>
      <c r="P154" s="10" t="s">
        <v>61</v>
      </c>
      <c r="Q154" s="10" t="s">
        <v>62</v>
      </c>
      <c r="R154" s="10"/>
      <c r="S154" s="10"/>
      <c r="T154" s="10"/>
      <c r="U154" s="11"/>
      <c r="V154" s="11"/>
    </row>
    <row r="155" spans="1:22">
      <c r="A155" s="7" t="s">
        <v>24</v>
      </c>
      <c r="B155" s="8">
        <v>46100</v>
      </c>
      <c r="C155" s="9">
        <v>0.61805555555555558</v>
      </c>
      <c r="D155" s="8">
        <v>46105</v>
      </c>
      <c r="E155" s="9">
        <v>0.65486111111111112</v>
      </c>
      <c r="F155" s="8"/>
      <c r="G155" s="8"/>
      <c r="H155" s="10"/>
      <c r="I155" s="10" t="s">
        <v>26</v>
      </c>
      <c r="J155" s="10"/>
      <c r="K155" s="10" t="s">
        <v>214</v>
      </c>
      <c r="L155" s="10" t="s">
        <v>49</v>
      </c>
      <c r="M155" s="10" t="s">
        <v>35</v>
      </c>
      <c r="N155" s="10"/>
      <c r="O155" s="10"/>
      <c r="P155" s="10" t="s">
        <v>61</v>
      </c>
      <c r="Q155" s="10" t="s">
        <v>62</v>
      </c>
      <c r="R155" s="10"/>
      <c r="S155" s="10"/>
      <c r="T155" s="10"/>
      <c r="U155" s="11"/>
      <c r="V155" s="11"/>
    </row>
    <row r="156" spans="1:22">
      <c r="A156" s="7" t="s">
        <v>24</v>
      </c>
      <c r="B156" s="8">
        <v>46100</v>
      </c>
      <c r="C156" s="9">
        <v>0.32569444444444445</v>
      </c>
      <c r="D156" s="8">
        <v>46106</v>
      </c>
      <c r="E156" s="9">
        <v>0.64652777777777781</v>
      </c>
      <c r="F156" s="8"/>
      <c r="G156" s="8"/>
      <c r="H156" s="10" t="s">
        <v>62</v>
      </c>
      <c r="I156" s="10" t="s">
        <v>80</v>
      </c>
      <c r="J156" s="10"/>
      <c r="K156" s="10" t="s">
        <v>215</v>
      </c>
      <c r="L156" s="10" t="s">
        <v>91</v>
      </c>
      <c r="M156" s="10" t="s">
        <v>35</v>
      </c>
      <c r="N156" s="10"/>
      <c r="O156" s="10"/>
      <c r="P156" s="10" t="s">
        <v>61</v>
      </c>
      <c r="Q156" s="10" t="s">
        <v>62</v>
      </c>
      <c r="R156" s="10" t="s">
        <v>92</v>
      </c>
      <c r="S156" s="10" t="s">
        <v>93</v>
      </c>
      <c r="T156" s="10"/>
      <c r="U156" s="11"/>
      <c r="V156" s="11"/>
    </row>
    <row r="157" spans="1:22">
      <c r="A157" s="7" t="s">
        <v>24</v>
      </c>
      <c r="B157" s="8">
        <v>46100</v>
      </c>
      <c r="C157" s="9">
        <v>0.46319444444444446</v>
      </c>
      <c r="D157" s="8">
        <v>46100</v>
      </c>
      <c r="E157" s="9">
        <v>0.46319444444444446</v>
      </c>
      <c r="F157" s="8"/>
      <c r="G157" s="8"/>
      <c r="H157" s="10" t="s">
        <v>62</v>
      </c>
      <c r="I157" s="10" t="s">
        <v>80</v>
      </c>
      <c r="J157" s="10"/>
      <c r="K157" s="10" t="s">
        <v>216</v>
      </c>
      <c r="L157" s="10" t="s">
        <v>81</v>
      </c>
      <c r="M157" s="10" t="s">
        <v>82</v>
      </c>
      <c r="N157" s="10"/>
      <c r="O157" s="10"/>
      <c r="P157" s="10" t="s">
        <v>61</v>
      </c>
      <c r="Q157" s="10" t="s">
        <v>62</v>
      </c>
      <c r="R157" s="10"/>
      <c r="S157" s="10" t="s">
        <v>83</v>
      </c>
      <c r="T157" s="10"/>
      <c r="U157" s="11"/>
      <c r="V157" s="11"/>
    </row>
    <row r="158" spans="1:22">
      <c r="A158" s="7" t="s">
        <v>24</v>
      </c>
      <c r="B158" s="8">
        <v>46101</v>
      </c>
      <c r="C158" s="9">
        <v>0.55833333333333335</v>
      </c>
      <c r="D158" s="8">
        <v>46101</v>
      </c>
      <c r="E158" s="9">
        <v>0.55833333333333335</v>
      </c>
      <c r="F158" s="8"/>
      <c r="G158" s="8"/>
      <c r="H158" s="10"/>
      <c r="I158" s="10" t="s">
        <v>26</v>
      </c>
      <c r="J158" s="10"/>
      <c r="K158" s="10" t="s">
        <v>217</v>
      </c>
      <c r="L158" s="10" t="s">
        <v>27</v>
      </c>
      <c r="M158" s="10" t="s">
        <v>89</v>
      </c>
      <c r="N158" s="10"/>
      <c r="O158" s="10"/>
      <c r="P158" s="10" t="s">
        <v>61</v>
      </c>
      <c r="Q158" s="10" t="s">
        <v>62</v>
      </c>
      <c r="R158" s="10"/>
      <c r="S158" s="10"/>
      <c r="T158" s="10"/>
      <c r="U158" s="11"/>
      <c r="V158" s="11"/>
    </row>
    <row r="159" spans="1:22">
      <c r="A159" s="7" t="s">
        <v>24</v>
      </c>
      <c r="B159" s="8">
        <v>46101</v>
      </c>
      <c r="C159" s="9">
        <v>0.73819444444444449</v>
      </c>
      <c r="D159" s="8">
        <v>46105</v>
      </c>
      <c r="E159" s="9">
        <v>0.63263888888888886</v>
      </c>
      <c r="F159" s="8"/>
      <c r="G159" s="8"/>
      <c r="H159" s="10"/>
      <c r="I159" s="10" t="s">
        <v>26</v>
      </c>
      <c r="J159" s="10"/>
      <c r="K159" s="10" t="s">
        <v>218</v>
      </c>
      <c r="L159" s="10" t="s">
        <v>49</v>
      </c>
      <c r="M159" s="10" t="s">
        <v>56</v>
      </c>
      <c r="N159" s="10"/>
      <c r="O159" s="10"/>
      <c r="P159" s="10" t="s">
        <v>61</v>
      </c>
      <c r="Q159" s="10" t="s">
        <v>62</v>
      </c>
      <c r="R159" s="10"/>
      <c r="S159" s="10"/>
      <c r="T159" s="10"/>
      <c r="U159" s="11"/>
      <c r="V159" s="11"/>
    </row>
    <row r="160" spans="1:22">
      <c r="A160" s="7" t="s">
        <v>24</v>
      </c>
      <c r="B160" s="8">
        <v>46101</v>
      </c>
      <c r="C160" s="9">
        <v>0.67291666666666672</v>
      </c>
      <c r="D160" s="8">
        <v>46101</v>
      </c>
      <c r="E160" s="9">
        <v>0.67986111111111114</v>
      </c>
      <c r="F160" s="8"/>
      <c r="G160" s="8"/>
      <c r="H160" s="10" t="s">
        <v>62</v>
      </c>
      <c r="I160" s="10" t="s">
        <v>80</v>
      </c>
      <c r="J160" s="10"/>
      <c r="K160" s="10" t="s">
        <v>219</v>
      </c>
      <c r="L160" s="10" t="s">
        <v>91</v>
      </c>
      <c r="M160" s="10" t="s">
        <v>35</v>
      </c>
      <c r="N160" s="10"/>
      <c r="O160" s="10"/>
      <c r="P160" s="10" t="s">
        <v>61</v>
      </c>
      <c r="Q160" s="10" t="s">
        <v>62</v>
      </c>
      <c r="R160" s="10" t="s">
        <v>92</v>
      </c>
      <c r="S160" s="10" t="s">
        <v>93</v>
      </c>
      <c r="T160" s="10"/>
      <c r="U160" s="11"/>
      <c r="V160" s="11"/>
    </row>
    <row r="161" spans="1:22">
      <c r="A161" s="7" t="s">
        <v>24</v>
      </c>
      <c r="B161" s="8">
        <v>46101</v>
      </c>
      <c r="C161" s="9">
        <v>0.7368055555555556</v>
      </c>
      <c r="D161" s="8">
        <v>46105</v>
      </c>
      <c r="E161" s="9">
        <v>0.63124999999999998</v>
      </c>
      <c r="F161" s="8"/>
      <c r="G161" s="8"/>
      <c r="H161" s="10" t="s">
        <v>62</v>
      </c>
      <c r="I161" s="10" t="s">
        <v>80</v>
      </c>
      <c r="J161" s="10"/>
      <c r="K161" s="10" t="s">
        <v>220</v>
      </c>
      <c r="L161" s="10" t="s">
        <v>91</v>
      </c>
      <c r="M161" s="10" t="s">
        <v>35</v>
      </c>
      <c r="N161" s="10"/>
      <c r="O161" s="10"/>
      <c r="P161" s="10" t="s">
        <v>61</v>
      </c>
      <c r="Q161" s="10" t="s">
        <v>62</v>
      </c>
      <c r="R161" s="10" t="s">
        <v>92</v>
      </c>
      <c r="S161" s="10" t="s">
        <v>93</v>
      </c>
      <c r="T161" s="10"/>
      <c r="U161" s="11"/>
      <c r="V161" s="11"/>
    </row>
    <row r="162" spans="1:22">
      <c r="A162" s="7" t="s">
        <v>24</v>
      </c>
      <c r="B162" s="8">
        <v>46101</v>
      </c>
      <c r="C162" s="9">
        <v>0.60416666666666663</v>
      </c>
      <c r="D162" s="8">
        <v>46101</v>
      </c>
      <c r="E162" s="9">
        <v>0.60416666666666663</v>
      </c>
      <c r="F162" s="8"/>
      <c r="G162" s="8"/>
      <c r="H162" s="10"/>
      <c r="I162" s="10" t="s">
        <v>75</v>
      </c>
      <c r="J162" s="10"/>
      <c r="K162" s="10" t="s">
        <v>221</v>
      </c>
      <c r="L162" s="10" t="s">
        <v>75</v>
      </c>
      <c r="M162" s="10" t="s">
        <v>76</v>
      </c>
      <c r="N162" s="10"/>
      <c r="O162" s="10"/>
      <c r="P162" s="10" t="s">
        <v>61</v>
      </c>
      <c r="Q162" s="10" t="s">
        <v>62</v>
      </c>
      <c r="R162" s="10"/>
      <c r="S162" s="10"/>
      <c r="T162" s="10"/>
      <c r="U162" s="11"/>
      <c r="V162" s="11"/>
    </row>
    <row r="163" spans="1:22">
      <c r="A163" s="7" t="s">
        <v>24</v>
      </c>
      <c r="B163" s="8">
        <v>46101</v>
      </c>
      <c r="C163" s="9">
        <v>0.625</v>
      </c>
      <c r="D163" s="8">
        <v>46101</v>
      </c>
      <c r="E163" s="9">
        <v>0.625</v>
      </c>
      <c r="F163" s="8"/>
      <c r="G163" s="8"/>
      <c r="H163" s="10"/>
      <c r="I163" s="10" t="s">
        <v>99</v>
      </c>
      <c r="J163" s="10"/>
      <c r="K163" s="10" t="s">
        <v>222</v>
      </c>
      <c r="L163" s="10" t="s">
        <v>101</v>
      </c>
      <c r="M163" s="10" t="s">
        <v>102</v>
      </c>
      <c r="N163" s="10"/>
      <c r="O163" s="10"/>
      <c r="P163" s="10" t="s">
        <v>61</v>
      </c>
      <c r="Q163" s="10" t="s">
        <v>62</v>
      </c>
      <c r="R163" s="10"/>
      <c r="S163" s="10" t="s">
        <v>103</v>
      </c>
      <c r="T163" s="10"/>
      <c r="U163" s="11"/>
      <c r="V163" s="11"/>
    </row>
    <row r="164" spans="1:22">
      <c r="A164" s="7" t="s">
        <v>24</v>
      </c>
      <c r="B164" s="8">
        <v>46102</v>
      </c>
      <c r="C164" s="9">
        <v>0.47013888888888888</v>
      </c>
      <c r="D164" s="8">
        <v>46105</v>
      </c>
      <c r="E164" s="9">
        <v>0.62986111111111109</v>
      </c>
      <c r="F164" s="8"/>
      <c r="G164" s="8"/>
      <c r="H164" s="10"/>
      <c r="I164" s="10" t="s">
        <v>26</v>
      </c>
      <c r="J164" s="10"/>
      <c r="K164" s="10" t="s">
        <v>223</v>
      </c>
      <c r="L164" s="10" t="s">
        <v>49</v>
      </c>
      <c r="M164" s="10" t="s">
        <v>72</v>
      </c>
      <c r="N164" s="10"/>
      <c r="O164" s="10"/>
      <c r="P164" s="10" t="s">
        <v>61</v>
      </c>
      <c r="Q164" s="10" t="s">
        <v>62</v>
      </c>
      <c r="R164" s="10"/>
      <c r="S164" s="10"/>
      <c r="T164" s="10"/>
      <c r="U164" s="11"/>
      <c r="V164" s="11"/>
    </row>
    <row r="165" spans="1:22">
      <c r="A165" s="7" t="s">
        <v>24</v>
      </c>
      <c r="B165" s="8">
        <v>46102</v>
      </c>
      <c r="C165" s="9">
        <v>0.34027777777777779</v>
      </c>
      <c r="D165" s="8">
        <v>46102</v>
      </c>
      <c r="E165" s="9">
        <v>0.34027777777777779</v>
      </c>
      <c r="F165" s="8"/>
      <c r="G165" s="8"/>
      <c r="H165" s="10"/>
      <c r="I165" s="10" t="s">
        <v>75</v>
      </c>
      <c r="J165" s="10"/>
      <c r="K165" s="10" t="s">
        <v>224</v>
      </c>
      <c r="L165" s="10" t="s">
        <v>75</v>
      </c>
      <c r="M165" s="10" t="s">
        <v>76</v>
      </c>
      <c r="N165" s="10"/>
      <c r="O165" s="10"/>
      <c r="P165" s="10" t="s">
        <v>61</v>
      </c>
      <c r="Q165" s="10" t="s">
        <v>62</v>
      </c>
      <c r="R165" s="10"/>
      <c r="S165" s="10"/>
      <c r="T165" s="10"/>
      <c r="U165" s="11"/>
      <c r="V165" s="11"/>
    </row>
    <row r="166" spans="1:22">
      <c r="A166" s="7" t="s">
        <v>24</v>
      </c>
      <c r="B166" s="8">
        <v>46102</v>
      </c>
      <c r="C166" s="9">
        <v>0.53125</v>
      </c>
      <c r="D166" s="8">
        <v>46102</v>
      </c>
      <c r="E166" s="9">
        <v>0.53125</v>
      </c>
      <c r="F166" s="8"/>
      <c r="G166" s="8"/>
      <c r="H166" s="10"/>
      <c r="I166" s="10" t="s">
        <v>75</v>
      </c>
      <c r="J166" s="10"/>
      <c r="K166" s="10" t="s">
        <v>225</v>
      </c>
      <c r="L166" s="10" t="s">
        <v>75</v>
      </c>
      <c r="M166" s="10" t="s">
        <v>76</v>
      </c>
      <c r="N166" s="10"/>
      <c r="O166" s="10"/>
      <c r="P166" s="10" t="s">
        <v>61</v>
      </c>
      <c r="Q166" s="10" t="s">
        <v>62</v>
      </c>
      <c r="R166" s="10"/>
      <c r="S166" s="10"/>
      <c r="T166" s="10"/>
      <c r="U166" s="11"/>
      <c r="V166" s="11"/>
    </row>
    <row r="167" spans="1:22">
      <c r="A167" s="7" t="s">
        <v>24</v>
      </c>
      <c r="B167" s="8">
        <v>46102</v>
      </c>
      <c r="C167" s="9">
        <v>0.43611111111111112</v>
      </c>
      <c r="D167" s="8">
        <v>46105</v>
      </c>
      <c r="E167" s="9">
        <v>0.63055555555555554</v>
      </c>
      <c r="F167" s="8"/>
      <c r="G167" s="8"/>
      <c r="H167" s="10" t="s">
        <v>62</v>
      </c>
      <c r="I167" s="10" t="s">
        <v>80</v>
      </c>
      <c r="J167" s="10"/>
      <c r="K167" s="10" t="s">
        <v>226</v>
      </c>
      <c r="L167" s="10" t="s">
        <v>81</v>
      </c>
      <c r="M167" s="10" t="s">
        <v>82</v>
      </c>
      <c r="N167" s="10"/>
      <c r="O167" s="10"/>
      <c r="P167" s="10" t="s">
        <v>61</v>
      </c>
      <c r="Q167" s="10" t="s">
        <v>62</v>
      </c>
      <c r="R167" s="10"/>
      <c r="S167" s="10" t="s">
        <v>83</v>
      </c>
      <c r="T167" s="10"/>
      <c r="U167" s="11"/>
      <c r="V167" s="11"/>
    </row>
    <row r="168" spans="1:22">
      <c r="A168" s="7" t="s">
        <v>24</v>
      </c>
      <c r="B168" s="8">
        <v>46103</v>
      </c>
      <c r="C168" s="9">
        <v>0.42638888888888887</v>
      </c>
      <c r="D168" s="8">
        <v>46105</v>
      </c>
      <c r="E168" s="9">
        <v>0.62916666666666665</v>
      </c>
      <c r="F168" s="8"/>
      <c r="G168" s="8"/>
      <c r="H168" s="10"/>
      <c r="I168" s="10" t="s">
        <v>99</v>
      </c>
      <c r="J168" s="10"/>
      <c r="K168" s="10" t="s">
        <v>227</v>
      </c>
      <c r="L168" s="10" t="s">
        <v>101</v>
      </c>
      <c r="M168" s="10" t="s">
        <v>102</v>
      </c>
      <c r="N168" s="10"/>
      <c r="O168" s="10"/>
      <c r="P168" s="10" t="s">
        <v>61</v>
      </c>
      <c r="Q168" s="10" t="s">
        <v>62</v>
      </c>
      <c r="R168" s="10"/>
      <c r="S168" s="10" t="s">
        <v>103</v>
      </c>
      <c r="T168" s="10"/>
      <c r="U168" s="11"/>
      <c r="V168" s="11"/>
    </row>
    <row r="169" spans="1:22">
      <c r="A169" s="7" t="s">
        <v>173</v>
      </c>
      <c r="B169" s="8">
        <v>46104</v>
      </c>
      <c r="C169" s="9">
        <v>0.54305555555555551</v>
      </c>
      <c r="D169" s="8">
        <v>46105</v>
      </c>
      <c r="E169" s="9">
        <v>0.62916666666666665</v>
      </c>
      <c r="F169" s="8">
        <v>46105</v>
      </c>
      <c r="G169" s="8">
        <v>46107</v>
      </c>
      <c r="H169" s="10" t="s">
        <v>228</v>
      </c>
      <c r="I169" s="10" t="s">
        <v>26</v>
      </c>
      <c r="J169" s="10" t="s">
        <v>228</v>
      </c>
      <c r="K169" s="10"/>
      <c r="L169" s="10" t="s">
        <v>49</v>
      </c>
      <c r="M169" s="10" t="s">
        <v>190</v>
      </c>
      <c r="N169" s="10"/>
      <c r="O169" s="10"/>
      <c r="P169" s="10" t="s">
        <v>61</v>
      </c>
      <c r="Q169" s="10" t="s">
        <v>62</v>
      </c>
      <c r="R169" s="10"/>
      <c r="S169" s="10"/>
      <c r="T169" s="10"/>
      <c r="U169" s="11"/>
      <c r="V169" s="11"/>
    </row>
    <row r="170" spans="1:22">
      <c r="A170" s="7" t="s">
        <v>24</v>
      </c>
      <c r="B170" s="8">
        <v>46104</v>
      </c>
      <c r="C170" s="9">
        <v>0.55138888888888893</v>
      </c>
      <c r="D170" s="8">
        <v>46105</v>
      </c>
      <c r="E170" s="9">
        <v>0.62708333333333333</v>
      </c>
      <c r="F170" s="8"/>
      <c r="G170" s="8"/>
      <c r="H170" s="10"/>
      <c r="I170" s="10" t="s">
        <v>26</v>
      </c>
      <c r="J170" s="10"/>
      <c r="K170" s="10" t="s">
        <v>229</v>
      </c>
      <c r="L170" s="10" t="s">
        <v>49</v>
      </c>
      <c r="M170" s="10" t="s">
        <v>72</v>
      </c>
      <c r="N170" s="10"/>
      <c r="O170" s="10"/>
      <c r="P170" s="10" t="s">
        <v>61</v>
      </c>
      <c r="Q170" s="10" t="s">
        <v>62</v>
      </c>
      <c r="R170" s="10"/>
      <c r="S170" s="10"/>
      <c r="T170" s="10"/>
      <c r="U170" s="11"/>
      <c r="V170" s="11"/>
    </row>
    <row r="171" spans="1:22">
      <c r="A171" s="7" t="s">
        <v>24</v>
      </c>
      <c r="B171" s="8">
        <v>46104</v>
      </c>
      <c r="C171" s="9">
        <v>0.7055555555555556</v>
      </c>
      <c r="D171" s="8">
        <v>46105</v>
      </c>
      <c r="E171" s="9">
        <v>0.62638888888888888</v>
      </c>
      <c r="F171" s="8"/>
      <c r="G171" s="8"/>
      <c r="H171" s="10"/>
      <c r="I171" s="10" t="s">
        <v>75</v>
      </c>
      <c r="J171" s="10"/>
      <c r="K171" s="10" t="s">
        <v>230</v>
      </c>
      <c r="L171" s="10" t="s">
        <v>75</v>
      </c>
      <c r="M171" s="10" t="s">
        <v>76</v>
      </c>
      <c r="N171" s="10"/>
      <c r="O171" s="10"/>
      <c r="P171" s="10" t="s">
        <v>61</v>
      </c>
      <c r="Q171" s="10" t="s">
        <v>62</v>
      </c>
      <c r="R171" s="10"/>
      <c r="S171" s="10"/>
      <c r="T171" s="10"/>
      <c r="U171" s="11"/>
      <c r="V171" s="11"/>
    </row>
    <row r="172" spans="1:22">
      <c r="A172" s="7" t="s">
        <v>24</v>
      </c>
      <c r="B172" s="8">
        <v>46104</v>
      </c>
      <c r="C172" s="9">
        <v>0.7055555555555556</v>
      </c>
      <c r="D172" s="8">
        <v>46105</v>
      </c>
      <c r="E172" s="9">
        <v>0.62638888888888888</v>
      </c>
      <c r="F172" s="8"/>
      <c r="G172" s="8"/>
      <c r="H172" s="10"/>
      <c r="I172" s="10" t="s">
        <v>75</v>
      </c>
      <c r="J172" s="10"/>
      <c r="K172" s="10"/>
      <c r="L172" s="10" t="s">
        <v>75</v>
      </c>
      <c r="M172" s="10" t="s">
        <v>76</v>
      </c>
      <c r="N172" s="10"/>
      <c r="O172" s="10"/>
      <c r="P172" s="10" t="s">
        <v>61</v>
      </c>
      <c r="Q172" s="10" t="s">
        <v>62</v>
      </c>
      <c r="R172" s="10"/>
      <c r="S172" s="10"/>
      <c r="T172" s="10"/>
      <c r="U172" s="11"/>
      <c r="V172" s="11"/>
    </row>
    <row r="173" spans="1:22">
      <c r="A173" s="7" t="s">
        <v>24</v>
      </c>
      <c r="B173" s="8">
        <v>46105</v>
      </c>
      <c r="C173" s="9">
        <v>0.58680555555555558</v>
      </c>
      <c r="D173" s="8">
        <v>46105</v>
      </c>
      <c r="E173" s="9">
        <v>0.61944444444444446</v>
      </c>
      <c r="F173" s="8"/>
      <c r="G173" s="8"/>
      <c r="H173" s="10"/>
      <c r="I173" s="10" t="s">
        <v>26</v>
      </c>
      <c r="J173" s="10"/>
      <c r="K173" s="10" t="s">
        <v>231</v>
      </c>
      <c r="L173" s="10" t="s">
        <v>49</v>
      </c>
      <c r="M173" s="10" t="s">
        <v>72</v>
      </c>
      <c r="N173" s="10"/>
      <c r="O173" s="10"/>
      <c r="P173" s="10" t="s">
        <v>61</v>
      </c>
      <c r="Q173" s="10" t="s">
        <v>62</v>
      </c>
      <c r="R173" s="10"/>
      <c r="S173" s="10"/>
      <c r="T173" s="10"/>
      <c r="U173" s="11"/>
      <c r="V173" s="11"/>
    </row>
    <row r="174" spans="1:22">
      <c r="A174" s="7" t="s">
        <v>24</v>
      </c>
      <c r="B174" s="8">
        <v>46105</v>
      </c>
      <c r="C174" s="9">
        <v>0.54513888888888884</v>
      </c>
      <c r="D174" s="8">
        <v>46105</v>
      </c>
      <c r="E174" s="9">
        <v>0.62222222222222223</v>
      </c>
      <c r="F174" s="8"/>
      <c r="G174" s="8"/>
      <c r="H174" s="10"/>
      <c r="I174" s="10" t="s">
        <v>26</v>
      </c>
      <c r="J174" s="10"/>
      <c r="K174" s="10" t="s">
        <v>232</v>
      </c>
      <c r="L174" s="10" t="s">
        <v>49</v>
      </c>
      <c r="M174" s="10" t="s">
        <v>72</v>
      </c>
      <c r="N174" s="10"/>
      <c r="O174" s="10"/>
      <c r="P174" s="10" t="s">
        <v>61</v>
      </c>
      <c r="Q174" s="10" t="s">
        <v>62</v>
      </c>
      <c r="R174" s="10"/>
      <c r="S174" s="10"/>
      <c r="T174" s="10"/>
      <c r="U174" s="11"/>
      <c r="V174" s="11"/>
    </row>
    <row r="175" spans="1:22">
      <c r="A175" s="7" t="s">
        <v>24</v>
      </c>
      <c r="B175" s="8">
        <v>46105</v>
      </c>
      <c r="C175" s="9">
        <v>0.54513888888888884</v>
      </c>
      <c r="D175" s="8">
        <v>46105</v>
      </c>
      <c r="E175" s="9">
        <v>0.62222222222222223</v>
      </c>
      <c r="F175" s="8"/>
      <c r="G175" s="8"/>
      <c r="H175" s="10"/>
      <c r="I175" s="10" t="s">
        <v>26</v>
      </c>
      <c r="J175" s="10"/>
      <c r="K175" s="10" t="s">
        <v>232</v>
      </c>
      <c r="L175" s="10" t="s">
        <v>49</v>
      </c>
      <c r="M175" s="10" t="s">
        <v>72</v>
      </c>
      <c r="N175" s="10"/>
      <c r="O175" s="10"/>
      <c r="P175" s="10" t="s">
        <v>61</v>
      </c>
      <c r="Q175" s="10" t="s">
        <v>62</v>
      </c>
      <c r="R175" s="10"/>
      <c r="S175" s="10"/>
      <c r="T175" s="10"/>
      <c r="U175" s="11"/>
      <c r="V175" s="11"/>
    </row>
    <row r="176" spans="1:22">
      <c r="A176" s="7" t="s">
        <v>24</v>
      </c>
      <c r="B176" s="8">
        <v>46105</v>
      </c>
      <c r="C176" s="9">
        <v>0.46666666666666667</v>
      </c>
      <c r="D176" s="8">
        <v>46105</v>
      </c>
      <c r="E176" s="9">
        <v>0.625</v>
      </c>
      <c r="F176" s="8">
        <v>46105</v>
      </c>
      <c r="G176" s="8">
        <v>46106</v>
      </c>
      <c r="H176" s="10" t="s">
        <v>233</v>
      </c>
      <c r="I176" s="10" t="s">
        <v>26</v>
      </c>
      <c r="J176" s="10" t="s">
        <v>233</v>
      </c>
      <c r="K176" s="10"/>
      <c r="L176" s="10" t="s">
        <v>49</v>
      </c>
      <c r="M176" s="10" t="s">
        <v>35</v>
      </c>
      <c r="N176" s="10"/>
      <c r="O176" s="10"/>
      <c r="P176" s="10" t="s">
        <v>30</v>
      </c>
      <c r="Q176" s="10" t="s">
        <v>31</v>
      </c>
      <c r="R176" s="10" t="s">
        <v>126</v>
      </c>
      <c r="S176" s="10" t="s">
        <v>46</v>
      </c>
      <c r="T176" s="10"/>
      <c r="U176" s="11"/>
      <c r="V176" s="11" t="s">
        <v>74</v>
      </c>
    </row>
    <row r="177" spans="1:24">
      <c r="A177" s="7" t="s">
        <v>24</v>
      </c>
      <c r="B177" s="8">
        <v>46105</v>
      </c>
      <c r="C177" s="9">
        <v>0.55972222222222223</v>
      </c>
      <c r="D177" s="8">
        <v>46105</v>
      </c>
      <c r="E177" s="9">
        <v>0.61944444444444446</v>
      </c>
      <c r="F177" s="8"/>
      <c r="G177" s="8"/>
      <c r="H177" s="10" t="s">
        <v>234</v>
      </c>
      <c r="I177" s="10" t="s">
        <v>75</v>
      </c>
      <c r="J177" s="10" t="s">
        <v>234</v>
      </c>
      <c r="K177" s="10"/>
      <c r="L177" s="10" t="s">
        <v>75</v>
      </c>
      <c r="M177" s="10" t="s">
        <v>76</v>
      </c>
      <c r="N177" s="10"/>
      <c r="O177" s="10"/>
      <c r="P177" s="10" t="s">
        <v>61</v>
      </c>
      <c r="Q177" s="10" t="s">
        <v>62</v>
      </c>
      <c r="R177" s="10"/>
      <c r="S177" s="10"/>
      <c r="T177" s="10"/>
      <c r="U177" s="11"/>
      <c r="V177" s="11"/>
    </row>
    <row r="178" spans="1:24">
      <c r="A178" s="7" t="s">
        <v>24</v>
      </c>
      <c r="B178" s="8">
        <v>46105</v>
      </c>
      <c r="C178" s="9">
        <v>0.55694444444444446</v>
      </c>
      <c r="D178" s="8">
        <v>46105</v>
      </c>
      <c r="E178" s="9">
        <v>0.62013888888888891</v>
      </c>
      <c r="F178" s="8"/>
      <c r="G178" s="8"/>
      <c r="H178" s="10" t="s">
        <v>235</v>
      </c>
      <c r="I178" s="10" t="s">
        <v>75</v>
      </c>
      <c r="J178" s="10" t="s">
        <v>235</v>
      </c>
      <c r="K178" s="10"/>
      <c r="L178" s="10" t="s">
        <v>75</v>
      </c>
      <c r="M178" s="10" t="s">
        <v>76</v>
      </c>
      <c r="N178" s="10"/>
      <c r="O178" s="10"/>
      <c r="P178" s="10" t="s">
        <v>61</v>
      </c>
      <c r="Q178" s="10" t="s">
        <v>62</v>
      </c>
      <c r="R178" s="10"/>
      <c r="S178" s="10"/>
      <c r="T178" s="10"/>
      <c r="U178" s="11"/>
      <c r="V178" s="11"/>
    </row>
    <row r="179" spans="1:24">
      <c r="A179" s="7" t="s">
        <v>24</v>
      </c>
      <c r="B179" s="8">
        <v>46105</v>
      </c>
      <c r="C179" s="9">
        <v>0.625</v>
      </c>
      <c r="D179" s="8">
        <v>46105</v>
      </c>
      <c r="E179" s="9">
        <v>0.625</v>
      </c>
      <c r="F179" s="8"/>
      <c r="G179" s="8"/>
      <c r="H179" s="10"/>
      <c r="I179" s="10" t="s">
        <v>75</v>
      </c>
      <c r="J179" s="10"/>
      <c r="K179" s="10" t="s">
        <v>236</v>
      </c>
      <c r="L179" s="10" t="s">
        <v>75</v>
      </c>
      <c r="M179" s="10" t="s">
        <v>76</v>
      </c>
      <c r="N179" s="10"/>
      <c r="O179" s="10"/>
      <c r="P179" s="10" t="s">
        <v>61</v>
      </c>
      <c r="Q179" s="10" t="s">
        <v>62</v>
      </c>
      <c r="R179" s="10"/>
      <c r="S179" s="10"/>
      <c r="T179" s="10"/>
      <c r="U179" s="11"/>
      <c r="V179" s="11"/>
    </row>
    <row r="180" spans="1:24">
      <c r="A180" s="7" t="s">
        <v>24</v>
      </c>
      <c r="B180" s="8">
        <v>46105</v>
      </c>
      <c r="C180" s="9">
        <v>0.30555555555555558</v>
      </c>
      <c r="D180" s="8">
        <v>46105</v>
      </c>
      <c r="E180" s="9">
        <v>0.62361111111111112</v>
      </c>
      <c r="F180" s="8"/>
      <c r="G180" s="8"/>
      <c r="H180" s="10"/>
      <c r="I180" s="10" t="s">
        <v>99</v>
      </c>
      <c r="J180" s="10"/>
      <c r="K180" s="10" t="s">
        <v>237</v>
      </c>
      <c r="L180" s="10" t="s">
        <v>101</v>
      </c>
      <c r="M180" s="10" t="s">
        <v>102</v>
      </c>
      <c r="N180" s="10"/>
      <c r="O180" s="10"/>
      <c r="P180" s="10" t="s">
        <v>61</v>
      </c>
      <c r="Q180" s="10" t="s">
        <v>62</v>
      </c>
      <c r="R180" s="10"/>
      <c r="S180" s="10" t="s">
        <v>103</v>
      </c>
      <c r="T180" s="10"/>
      <c r="U180" s="11"/>
      <c r="V180" s="11"/>
    </row>
    <row r="181" spans="1:24">
      <c r="A181" s="7" t="s">
        <v>24</v>
      </c>
      <c r="B181" s="8">
        <v>46105</v>
      </c>
      <c r="C181" s="9">
        <v>0.30555555555555558</v>
      </c>
      <c r="D181" s="8">
        <v>46105</v>
      </c>
      <c r="E181" s="9">
        <v>0.62361111111111112</v>
      </c>
      <c r="F181" s="8"/>
      <c r="G181" s="8"/>
      <c r="H181" s="10"/>
      <c r="I181" s="10" t="s">
        <v>99</v>
      </c>
      <c r="J181" s="10"/>
      <c r="K181" s="10" t="s">
        <v>238</v>
      </c>
      <c r="L181" s="10" t="s">
        <v>101</v>
      </c>
      <c r="M181" s="10" t="s">
        <v>102</v>
      </c>
      <c r="N181" s="10"/>
      <c r="O181" s="10"/>
      <c r="P181" s="10" t="s">
        <v>61</v>
      </c>
      <c r="Q181" s="10" t="s">
        <v>62</v>
      </c>
      <c r="R181" s="10"/>
      <c r="S181" s="10" t="s">
        <v>103</v>
      </c>
      <c r="T181" s="10"/>
      <c r="U181" s="11"/>
      <c r="V181" s="11"/>
    </row>
    <row r="182" spans="1:24">
      <c r="A182" s="7" t="s">
        <v>24</v>
      </c>
      <c r="B182" s="8">
        <v>46106</v>
      </c>
      <c r="C182" s="9">
        <v>0.37986111111111109</v>
      </c>
      <c r="D182" s="8">
        <v>46106</v>
      </c>
      <c r="E182" s="9">
        <v>0.37986111111111109</v>
      </c>
      <c r="F182" s="8"/>
      <c r="G182" s="8"/>
      <c r="H182" s="10"/>
      <c r="I182" s="10" t="s">
        <v>26</v>
      </c>
      <c r="J182" s="10"/>
      <c r="K182" s="10" t="s">
        <v>239</v>
      </c>
      <c r="L182" s="10" t="s">
        <v>49</v>
      </c>
      <c r="M182" s="10" t="s">
        <v>35</v>
      </c>
      <c r="N182" s="10"/>
      <c r="O182" s="10"/>
      <c r="P182" s="10" t="s">
        <v>61</v>
      </c>
      <c r="Q182" s="10" t="s">
        <v>62</v>
      </c>
      <c r="R182" s="10"/>
      <c r="S182" s="10"/>
      <c r="T182" s="10"/>
      <c r="U182" s="11"/>
      <c r="V182" s="11"/>
    </row>
    <row r="183" spans="1:24">
      <c r="A183" s="7" t="s">
        <v>24</v>
      </c>
      <c r="B183" s="8">
        <v>46107</v>
      </c>
      <c r="C183" s="9">
        <v>0.51875000000000004</v>
      </c>
      <c r="D183" s="8">
        <v>46107</v>
      </c>
      <c r="E183" s="9">
        <v>0.51875000000000004</v>
      </c>
      <c r="F183" s="8"/>
      <c r="G183" s="8"/>
      <c r="H183" s="10"/>
      <c r="I183" s="10" t="s">
        <v>26</v>
      </c>
      <c r="J183" s="10"/>
      <c r="K183" s="10" t="s">
        <v>240</v>
      </c>
      <c r="L183" s="10" t="s">
        <v>27</v>
      </c>
      <c r="M183" s="10" t="s">
        <v>35</v>
      </c>
      <c r="N183" s="10"/>
      <c r="O183" s="10"/>
      <c r="P183" s="10" t="s">
        <v>61</v>
      </c>
      <c r="Q183" s="10" t="s">
        <v>62</v>
      </c>
      <c r="R183" s="10"/>
      <c r="S183" s="10"/>
      <c r="T183" s="10"/>
      <c r="U183" s="11"/>
      <c r="V183" s="11"/>
    </row>
    <row r="184" spans="1:24">
      <c r="A184" s="7" t="s">
        <v>24</v>
      </c>
      <c r="B184" s="8">
        <v>46107</v>
      </c>
      <c r="C184" s="9">
        <v>0.51875000000000004</v>
      </c>
      <c r="D184" s="8">
        <v>46107</v>
      </c>
      <c r="E184" s="9">
        <v>0.51875000000000004</v>
      </c>
      <c r="F184" s="8"/>
      <c r="G184" s="8"/>
      <c r="H184" s="10" t="s">
        <v>241</v>
      </c>
      <c r="I184" s="10" t="s">
        <v>26</v>
      </c>
      <c r="J184" s="10" t="s">
        <v>241</v>
      </c>
      <c r="K184" s="10"/>
      <c r="L184" s="10" t="s">
        <v>49</v>
      </c>
      <c r="M184" s="10" t="s">
        <v>35</v>
      </c>
      <c r="N184" s="10"/>
      <c r="O184" s="10"/>
      <c r="P184" s="10" t="s">
        <v>61</v>
      </c>
      <c r="Q184" s="10" t="s">
        <v>62</v>
      </c>
      <c r="R184" s="10"/>
      <c r="S184" s="10"/>
      <c r="T184" s="10"/>
      <c r="U184" s="11"/>
      <c r="V184" s="11"/>
    </row>
    <row r="185" spans="1:24">
      <c r="A185" s="7" t="s">
        <v>24</v>
      </c>
      <c r="B185" s="8">
        <v>46107</v>
      </c>
      <c r="C185" s="9">
        <v>0.54652777777777772</v>
      </c>
      <c r="D185" s="8">
        <v>46107</v>
      </c>
      <c r="E185" s="9">
        <v>0.54652777777777772</v>
      </c>
      <c r="F185" s="8"/>
      <c r="G185" s="8"/>
      <c r="H185" s="10"/>
      <c r="I185" s="10" t="s">
        <v>26</v>
      </c>
      <c r="J185" s="10"/>
      <c r="K185" s="10" t="s">
        <v>242</v>
      </c>
      <c r="L185" s="10" t="s">
        <v>49</v>
      </c>
      <c r="M185" s="10" t="s">
        <v>28</v>
      </c>
      <c r="N185" s="10"/>
      <c r="O185" s="10"/>
      <c r="P185" s="10" t="s">
        <v>61</v>
      </c>
      <c r="Q185" s="10" t="s">
        <v>62</v>
      </c>
      <c r="R185" s="10"/>
      <c r="S185" s="10"/>
      <c r="T185" s="10"/>
      <c r="U185" s="11"/>
      <c r="V185" s="11"/>
    </row>
    <row r="186" spans="1:24">
      <c r="A186" s="7" t="s">
        <v>24</v>
      </c>
      <c r="B186" s="8">
        <v>46107</v>
      </c>
      <c r="C186" s="9">
        <v>0.54652777777777772</v>
      </c>
      <c r="D186" s="8">
        <v>46107</v>
      </c>
      <c r="E186" s="9">
        <v>0.54652777777777772</v>
      </c>
      <c r="F186" s="8">
        <v>46107</v>
      </c>
      <c r="G186" s="8">
        <v>46107</v>
      </c>
      <c r="H186" s="10" t="s">
        <v>243</v>
      </c>
      <c r="I186" s="10" t="s">
        <v>26</v>
      </c>
      <c r="J186" s="10" t="s">
        <v>243</v>
      </c>
      <c r="K186" s="10"/>
      <c r="L186" s="10" t="s">
        <v>49</v>
      </c>
      <c r="M186" s="10" t="s">
        <v>35</v>
      </c>
      <c r="N186" s="10"/>
      <c r="O186" s="10"/>
      <c r="P186" s="10" t="s">
        <v>30</v>
      </c>
      <c r="Q186" s="10" t="s">
        <v>244</v>
      </c>
      <c r="R186" s="10" t="s">
        <v>90</v>
      </c>
      <c r="S186" s="10" t="s">
        <v>33</v>
      </c>
      <c r="T186" s="10"/>
      <c r="U186" s="11"/>
      <c r="V186" s="11"/>
    </row>
    <row r="187" spans="1:24">
      <c r="A187" s="7" t="s">
        <v>24</v>
      </c>
      <c r="B187" s="8">
        <v>46107</v>
      </c>
      <c r="C187" s="9">
        <v>0.36805555555555558</v>
      </c>
      <c r="D187" s="8">
        <v>46107</v>
      </c>
      <c r="E187" s="9">
        <v>0.4</v>
      </c>
      <c r="F187" s="8">
        <v>46107</v>
      </c>
      <c r="G187" s="8">
        <v>46107</v>
      </c>
      <c r="H187" s="10" t="s">
        <v>245</v>
      </c>
      <c r="I187" s="10" t="s">
        <v>26</v>
      </c>
      <c r="J187" s="10" t="s">
        <v>245</v>
      </c>
      <c r="K187" s="10"/>
      <c r="L187" s="10" t="s">
        <v>49</v>
      </c>
      <c r="M187" s="10" t="s">
        <v>35</v>
      </c>
      <c r="N187" s="10"/>
      <c r="O187" s="10"/>
      <c r="P187" s="10" t="s">
        <v>30</v>
      </c>
      <c r="Q187" s="10" t="s">
        <v>244</v>
      </c>
      <c r="R187" s="10" t="s">
        <v>90</v>
      </c>
      <c r="S187" s="10" t="s">
        <v>33</v>
      </c>
      <c r="T187" s="10"/>
      <c r="U187" s="19"/>
      <c r="V187" s="11"/>
    </row>
    <row r="188" spans="1:24">
      <c r="A188" s="7" t="s">
        <v>24</v>
      </c>
      <c r="B188" s="8">
        <v>46107</v>
      </c>
      <c r="C188" s="9">
        <v>0.63194444444444442</v>
      </c>
      <c r="D188" s="8">
        <v>46107</v>
      </c>
      <c r="E188" s="9">
        <v>0.63402777777777775</v>
      </c>
      <c r="F188" s="8"/>
      <c r="G188" s="8"/>
      <c r="H188" s="10"/>
      <c r="I188" s="10" t="s">
        <v>99</v>
      </c>
      <c r="J188" s="10"/>
      <c r="K188" s="10"/>
      <c r="L188" s="10" t="s">
        <v>101</v>
      </c>
      <c r="M188" s="10" t="s">
        <v>102</v>
      </c>
      <c r="N188" s="10"/>
      <c r="O188" s="10"/>
      <c r="P188" s="10" t="s">
        <v>61</v>
      </c>
      <c r="Q188" s="10" t="s">
        <v>62</v>
      </c>
      <c r="R188" s="10"/>
      <c r="S188" s="10" t="s">
        <v>103</v>
      </c>
      <c r="T188" s="10"/>
      <c r="U188" s="11"/>
      <c r="V188" s="11"/>
    </row>
    <row r="189" spans="1:24">
      <c r="A189" s="7" t="s">
        <v>37</v>
      </c>
      <c r="B189" s="27">
        <v>46108</v>
      </c>
      <c r="C189" s="9">
        <v>0.65625</v>
      </c>
      <c r="D189" s="27">
        <v>46122</v>
      </c>
      <c r="E189" s="9">
        <v>0.60624999999999996</v>
      </c>
      <c r="F189" s="27"/>
      <c r="G189" s="27"/>
      <c r="H189" s="10" t="s">
        <v>38</v>
      </c>
      <c r="I189" s="10" t="s">
        <v>26</v>
      </c>
      <c r="J189" s="10" t="s">
        <v>246</v>
      </c>
      <c r="K189" s="10"/>
      <c r="L189" s="10" t="s">
        <v>27</v>
      </c>
      <c r="M189" s="10" t="s">
        <v>35</v>
      </c>
      <c r="N189" s="10" t="s">
        <v>247</v>
      </c>
      <c r="O189" s="10" t="s">
        <v>247</v>
      </c>
      <c r="P189" s="10" t="s">
        <v>212</v>
      </c>
      <c r="Q189" s="10" t="s">
        <v>42</v>
      </c>
      <c r="R189" s="10" t="s">
        <v>36</v>
      </c>
      <c r="S189" s="10"/>
      <c r="T189" s="13">
        <v>200000000</v>
      </c>
      <c r="U189" s="11" t="s">
        <v>114</v>
      </c>
      <c r="V189" s="11"/>
      <c r="W189" s="12" t="s">
        <v>248</v>
      </c>
      <c r="X189" s="12" t="s">
        <v>248</v>
      </c>
    </row>
    <row r="190" spans="1:24">
      <c r="A190" s="7" t="s">
        <v>24</v>
      </c>
      <c r="B190" s="8">
        <v>46108</v>
      </c>
      <c r="C190" s="9">
        <v>0.62013888888888891</v>
      </c>
      <c r="D190" s="8">
        <v>46108</v>
      </c>
      <c r="E190" s="9">
        <v>0.62013888888888891</v>
      </c>
      <c r="F190" s="8"/>
      <c r="G190" s="8"/>
      <c r="H190" s="10" t="s">
        <v>249</v>
      </c>
      <c r="I190" s="10" t="s">
        <v>26</v>
      </c>
      <c r="J190" s="10" t="s">
        <v>249</v>
      </c>
      <c r="K190" s="10"/>
      <c r="L190" s="10" t="s">
        <v>49</v>
      </c>
      <c r="M190" s="10" t="s">
        <v>35</v>
      </c>
      <c r="N190" s="10"/>
      <c r="O190" s="10"/>
      <c r="P190" s="10" t="s">
        <v>61</v>
      </c>
      <c r="Q190" s="10" t="s">
        <v>62</v>
      </c>
      <c r="R190" s="10"/>
      <c r="S190" s="10"/>
      <c r="T190" s="10"/>
      <c r="U190" s="11"/>
      <c r="V190" s="11"/>
    </row>
    <row r="191" spans="1:24">
      <c r="A191" s="7" t="s">
        <v>24</v>
      </c>
      <c r="B191" s="8">
        <v>46110</v>
      </c>
      <c r="C191" s="9">
        <v>0.81527777777777777</v>
      </c>
      <c r="D191" s="8">
        <v>46111</v>
      </c>
      <c r="E191" s="9">
        <v>0.4</v>
      </c>
      <c r="F191" s="8"/>
      <c r="G191" s="8"/>
      <c r="H191" s="10"/>
      <c r="I191" s="10" t="s">
        <v>26</v>
      </c>
      <c r="J191" s="10"/>
      <c r="K191" s="10" t="s">
        <v>250</v>
      </c>
      <c r="L191" s="10" t="s">
        <v>49</v>
      </c>
      <c r="M191" s="10" t="s">
        <v>72</v>
      </c>
      <c r="N191" s="10"/>
      <c r="O191" s="10"/>
      <c r="P191" s="10" t="s">
        <v>61</v>
      </c>
      <c r="Q191" s="10" t="s">
        <v>62</v>
      </c>
      <c r="R191" s="10"/>
      <c r="S191" s="10"/>
      <c r="T191" s="10"/>
      <c r="U191" s="11"/>
      <c r="V191" s="11"/>
    </row>
    <row r="192" spans="1:24">
      <c r="A192" s="7" t="s">
        <v>24</v>
      </c>
      <c r="B192" s="8">
        <v>46111</v>
      </c>
      <c r="C192" s="9">
        <v>0.57291666666666663</v>
      </c>
      <c r="D192" s="8">
        <v>46111</v>
      </c>
      <c r="E192" s="9">
        <v>0.57291666666666663</v>
      </c>
      <c r="F192" s="8"/>
      <c r="G192" s="8"/>
      <c r="H192" s="10" t="s">
        <v>251</v>
      </c>
      <c r="I192" s="10" t="s">
        <v>26</v>
      </c>
      <c r="J192" s="10" t="s">
        <v>251</v>
      </c>
      <c r="K192" s="10"/>
      <c r="L192" s="10" t="s">
        <v>27</v>
      </c>
      <c r="M192" s="10" t="s">
        <v>35</v>
      </c>
      <c r="N192" s="10"/>
      <c r="O192" s="10"/>
      <c r="P192" s="10" t="s">
        <v>61</v>
      </c>
      <c r="Q192" s="10" t="s">
        <v>62</v>
      </c>
      <c r="R192" s="10"/>
      <c r="S192" s="10"/>
      <c r="T192" s="10"/>
      <c r="U192" s="11"/>
      <c r="V192" s="11"/>
    </row>
    <row r="193" spans="1:22">
      <c r="A193" s="7" t="s">
        <v>37</v>
      </c>
      <c r="B193" s="8">
        <v>46111</v>
      </c>
      <c r="C193" s="9">
        <v>0.33333333333333331</v>
      </c>
      <c r="D193" s="8">
        <v>46112</v>
      </c>
      <c r="E193" s="9">
        <v>0.33333333333333331</v>
      </c>
      <c r="F193" s="8">
        <v>46111</v>
      </c>
      <c r="G193" s="8">
        <v>46112</v>
      </c>
      <c r="H193" s="10" t="s">
        <v>252</v>
      </c>
      <c r="I193" s="10" t="s">
        <v>26</v>
      </c>
      <c r="J193" s="10" t="s">
        <v>252</v>
      </c>
      <c r="K193" s="10"/>
      <c r="L193" s="10" t="s">
        <v>27</v>
      </c>
      <c r="M193" s="10" t="s">
        <v>35</v>
      </c>
      <c r="N193" s="10"/>
      <c r="O193" s="10"/>
      <c r="P193" s="10" t="s">
        <v>212</v>
      </c>
      <c r="Q193" s="10" t="s">
        <v>42</v>
      </c>
      <c r="R193" s="10" t="s">
        <v>36</v>
      </c>
      <c r="S193" s="10"/>
      <c r="T193" s="13">
        <v>800000000</v>
      </c>
      <c r="U193" s="14" t="s">
        <v>114</v>
      </c>
      <c r="V193" s="11"/>
    </row>
    <row r="194" spans="1:22">
      <c r="A194" s="7" t="s">
        <v>24</v>
      </c>
      <c r="B194" s="8">
        <v>46111</v>
      </c>
      <c r="C194" s="9">
        <v>0.60486111111111107</v>
      </c>
      <c r="D194" s="8">
        <v>46112</v>
      </c>
      <c r="E194" s="9">
        <v>0.34166666666666667</v>
      </c>
      <c r="F194" s="8"/>
      <c r="G194" s="8"/>
      <c r="H194" s="10" t="s">
        <v>253</v>
      </c>
      <c r="I194" s="10" t="s">
        <v>26</v>
      </c>
      <c r="J194" s="10" t="s">
        <v>253</v>
      </c>
      <c r="K194" s="10"/>
      <c r="L194" s="10" t="s">
        <v>49</v>
      </c>
      <c r="M194" s="10" t="s">
        <v>89</v>
      </c>
      <c r="N194" s="10"/>
      <c r="O194" s="10"/>
      <c r="P194" s="10" t="s">
        <v>61</v>
      </c>
      <c r="Q194" s="10" t="s">
        <v>62</v>
      </c>
      <c r="R194" s="10"/>
      <c r="S194" s="10"/>
      <c r="T194" s="10"/>
      <c r="U194" s="11"/>
      <c r="V194" s="11"/>
    </row>
    <row r="195" spans="1:22">
      <c r="A195" s="7" t="s">
        <v>24</v>
      </c>
      <c r="B195" s="8">
        <v>46111</v>
      </c>
      <c r="C195" s="9">
        <v>0.19166666666666668</v>
      </c>
      <c r="D195" s="8">
        <v>46112</v>
      </c>
      <c r="E195" s="9">
        <v>0.34375</v>
      </c>
      <c r="F195" s="8"/>
      <c r="G195" s="8"/>
      <c r="H195" s="10"/>
      <c r="I195" s="10" t="s">
        <v>26</v>
      </c>
      <c r="J195" s="10"/>
      <c r="K195" s="10" t="s">
        <v>254</v>
      </c>
      <c r="L195" s="10" t="s">
        <v>49</v>
      </c>
      <c r="M195" s="10" t="s">
        <v>35</v>
      </c>
      <c r="N195" s="10"/>
      <c r="O195" s="10"/>
      <c r="P195" s="10" t="s">
        <v>61</v>
      </c>
      <c r="Q195" s="10" t="s">
        <v>62</v>
      </c>
      <c r="R195" s="10"/>
      <c r="S195" s="10"/>
      <c r="T195" s="10"/>
      <c r="U195" s="11"/>
      <c r="V195" s="11"/>
    </row>
    <row r="196" spans="1:22">
      <c r="A196" s="7" t="s">
        <v>24</v>
      </c>
      <c r="B196" s="8">
        <v>46111</v>
      </c>
      <c r="C196" s="9">
        <v>0.51875000000000004</v>
      </c>
      <c r="D196" s="8">
        <v>46111</v>
      </c>
      <c r="E196" s="9">
        <v>0.56597222222222221</v>
      </c>
      <c r="F196" s="8">
        <v>46113</v>
      </c>
      <c r="G196" s="8">
        <v>46113</v>
      </c>
      <c r="H196" s="10" t="s">
        <v>255</v>
      </c>
      <c r="I196" s="10" t="s">
        <v>26</v>
      </c>
      <c r="J196" s="10" t="s">
        <v>255</v>
      </c>
      <c r="K196" s="10"/>
      <c r="L196" s="10" t="s">
        <v>49</v>
      </c>
      <c r="M196" s="10" t="s">
        <v>35</v>
      </c>
      <c r="N196" s="10"/>
      <c r="O196" s="10"/>
      <c r="P196" s="10" t="s">
        <v>30</v>
      </c>
      <c r="Q196" s="10" t="s">
        <v>66</v>
      </c>
      <c r="R196" s="10" t="s">
        <v>45</v>
      </c>
      <c r="S196" s="10" t="s">
        <v>68</v>
      </c>
      <c r="T196" s="10"/>
      <c r="U196" s="11"/>
      <c r="V196" s="11"/>
    </row>
    <row r="197" spans="1:22">
      <c r="A197" s="7" t="s">
        <v>24</v>
      </c>
      <c r="B197" s="8">
        <v>46111</v>
      </c>
      <c r="C197" s="9">
        <v>0.25555555555555554</v>
      </c>
      <c r="D197" s="8">
        <v>46111</v>
      </c>
      <c r="E197" s="9">
        <v>0.44027777777777777</v>
      </c>
      <c r="F197" s="8"/>
      <c r="G197" s="8"/>
      <c r="H197" s="10" t="s">
        <v>62</v>
      </c>
      <c r="I197" s="10" t="s">
        <v>80</v>
      </c>
      <c r="J197" s="10"/>
      <c r="K197" s="10" t="s">
        <v>256</v>
      </c>
      <c r="L197" s="10" t="s">
        <v>91</v>
      </c>
      <c r="M197" s="10" t="s">
        <v>35</v>
      </c>
      <c r="N197" s="10"/>
      <c r="O197" s="10"/>
      <c r="P197" s="10" t="s">
        <v>61</v>
      </c>
      <c r="Q197" s="10" t="s">
        <v>62</v>
      </c>
      <c r="R197" s="10" t="s">
        <v>92</v>
      </c>
      <c r="S197" s="10" t="s">
        <v>93</v>
      </c>
      <c r="T197" s="10"/>
      <c r="U197" s="11"/>
      <c r="V197" s="11"/>
    </row>
    <row r="198" spans="1:22">
      <c r="A198" s="7" t="s">
        <v>24</v>
      </c>
      <c r="B198" s="8">
        <v>46111</v>
      </c>
      <c r="C198" s="9">
        <v>0.80138888888888893</v>
      </c>
      <c r="D198" s="8">
        <v>46112</v>
      </c>
      <c r="E198" s="9">
        <v>0.34722222222222221</v>
      </c>
      <c r="F198" s="8"/>
      <c r="G198" s="8"/>
      <c r="H198" s="10"/>
      <c r="I198" s="10" t="s">
        <v>75</v>
      </c>
      <c r="J198" s="10"/>
      <c r="K198" s="10" t="s">
        <v>257</v>
      </c>
      <c r="L198" s="10" t="s">
        <v>75</v>
      </c>
      <c r="M198" s="10" t="s">
        <v>76</v>
      </c>
      <c r="N198" s="10"/>
      <c r="O198" s="10"/>
      <c r="P198" s="10" t="s">
        <v>61</v>
      </c>
      <c r="Q198" s="10" t="s">
        <v>62</v>
      </c>
      <c r="R198" s="10"/>
      <c r="S198" s="10"/>
      <c r="T198" s="10"/>
      <c r="U198" s="11"/>
      <c r="V198" s="11"/>
    </row>
    <row r="199" spans="1:22">
      <c r="A199" s="7" t="s">
        <v>24</v>
      </c>
      <c r="B199" s="8">
        <v>46112</v>
      </c>
      <c r="C199" s="9">
        <v>0.50416666666666665</v>
      </c>
      <c r="D199" s="8">
        <v>46112</v>
      </c>
      <c r="E199" s="9">
        <v>0.53125</v>
      </c>
      <c r="F199" s="8">
        <v>46112</v>
      </c>
      <c r="G199" s="8">
        <v>46113</v>
      </c>
      <c r="H199" s="10" t="s">
        <v>258</v>
      </c>
      <c r="I199" s="10" t="s">
        <v>26</v>
      </c>
      <c r="J199" s="10" t="s">
        <v>258</v>
      </c>
      <c r="K199" s="10"/>
      <c r="L199" s="10" t="s">
        <v>27</v>
      </c>
      <c r="M199" s="10" t="s">
        <v>35</v>
      </c>
      <c r="N199" s="10"/>
      <c r="O199" s="10"/>
      <c r="P199" s="10" t="s">
        <v>30</v>
      </c>
      <c r="Q199" s="10" t="s">
        <v>66</v>
      </c>
      <c r="R199" s="10" t="s">
        <v>158</v>
      </c>
      <c r="S199" s="10" t="s">
        <v>68</v>
      </c>
      <c r="T199" s="13"/>
      <c r="U199" s="14"/>
      <c r="V199" s="11"/>
    </row>
    <row r="200" spans="1:22">
      <c r="A200" s="7" t="s">
        <v>24</v>
      </c>
      <c r="B200" s="8">
        <v>46112</v>
      </c>
      <c r="C200" s="9">
        <v>0.33333333333333331</v>
      </c>
      <c r="D200" s="8">
        <v>46112</v>
      </c>
      <c r="E200" s="9">
        <v>0.33333333333333331</v>
      </c>
      <c r="F200" s="8">
        <v>46112</v>
      </c>
      <c r="G200" s="8">
        <v>46120</v>
      </c>
      <c r="H200" s="10" t="s">
        <v>259</v>
      </c>
      <c r="I200" s="10" t="s">
        <v>26</v>
      </c>
      <c r="J200" s="10" t="s">
        <v>259</v>
      </c>
      <c r="K200" s="10"/>
      <c r="L200" s="10" t="s">
        <v>27</v>
      </c>
      <c r="M200" s="10" t="s">
        <v>35</v>
      </c>
      <c r="N200" s="10"/>
      <c r="O200" s="10"/>
      <c r="P200" s="10" t="s">
        <v>30</v>
      </c>
      <c r="Q200" s="10" t="s">
        <v>66</v>
      </c>
      <c r="R200" s="10" t="s">
        <v>260</v>
      </c>
      <c r="S200" s="10" t="s">
        <v>68</v>
      </c>
      <c r="T200" s="10"/>
      <c r="U200" s="11"/>
      <c r="V200" s="11"/>
    </row>
    <row r="201" spans="1:22">
      <c r="A201" s="7" t="s">
        <v>24</v>
      </c>
      <c r="B201" s="8">
        <v>46112</v>
      </c>
      <c r="C201" s="9">
        <v>0.31111111111111112</v>
      </c>
      <c r="D201" s="8">
        <v>46112</v>
      </c>
      <c r="E201" s="9">
        <v>0.3527777777777778</v>
      </c>
      <c r="F201" s="8"/>
      <c r="G201" s="8"/>
      <c r="H201" s="10"/>
      <c r="I201" s="10" t="s">
        <v>26</v>
      </c>
      <c r="J201" s="10"/>
      <c r="K201" s="10" t="s">
        <v>261</v>
      </c>
      <c r="L201" s="10" t="s">
        <v>49</v>
      </c>
      <c r="M201" s="10" t="s">
        <v>72</v>
      </c>
      <c r="N201" s="10"/>
      <c r="O201" s="10"/>
      <c r="P201" s="10" t="s">
        <v>61</v>
      </c>
      <c r="Q201" s="10" t="s">
        <v>62</v>
      </c>
      <c r="R201" s="10"/>
      <c r="S201" s="10"/>
      <c r="T201" s="10"/>
      <c r="U201" s="11"/>
      <c r="V201" s="11"/>
    </row>
    <row r="202" spans="1:22">
      <c r="A202" s="7" t="s">
        <v>24</v>
      </c>
      <c r="B202" s="8">
        <v>46112</v>
      </c>
      <c r="C202" s="9">
        <v>0.2986111111111111</v>
      </c>
      <c r="D202" s="8">
        <v>46112</v>
      </c>
      <c r="E202" s="9">
        <v>0.35138888888888886</v>
      </c>
      <c r="F202" s="8"/>
      <c r="G202" s="8"/>
      <c r="H202" s="10"/>
      <c r="I202" s="10" t="s">
        <v>26</v>
      </c>
      <c r="J202" s="10"/>
      <c r="K202" s="10" t="s">
        <v>262</v>
      </c>
      <c r="L202" s="10" t="s">
        <v>49</v>
      </c>
      <c r="M202" s="10" t="s">
        <v>72</v>
      </c>
      <c r="N202" s="10"/>
      <c r="O202" s="10"/>
      <c r="P202" s="10" t="s">
        <v>61</v>
      </c>
      <c r="Q202" s="10" t="s">
        <v>62</v>
      </c>
      <c r="R202" s="10"/>
      <c r="S202" s="10"/>
      <c r="T202" s="10"/>
      <c r="U202" s="11"/>
      <c r="V202" s="11"/>
    </row>
    <row r="203" spans="1:22">
      <c r="A203" s="7" t="s">
        <v>24</v>
      </c>
      <c r="B203" s="8">
        <v>46112</v>
      </c>
      <c r="C203" s="9">
        <v>0.33958333333333335</v>
      </c>
      <c r="D203" s="8">
        <v>46112</v>
      </c>
      <c r="E203" s="9">
        <v>0.35347222222222224</v>
      </c>
      <c r="F203" s="8"/>
      <c r="G203" s="8"/>
      <c r="H203" s="10"/>
      <c r="I203" s="10" t="s">
        <v>26</v>
      </c>
      <c r="J203" s="10"/>
      <c r="K203" s="10" t="s">
        <v>263</v>
      </c>
      <c r="L203" s="10" t="s">
        <v>49</v>
      </c>
      <c r="M203" s="10" t="s">
        <v>35</v>
      </c>
      <c r="N203" s="10"/>
      <c r="O203" s="10"/>
      <c r="P203" s="10" t="s">
        <v>61</v>
      </c>
      <c r="Q203" s="10" t="s">
        <v>62</v>
      </c>
      <c r="R203" s="10"/>
      <c r="S203" s="10"/>
      <c r="T203" s="10"/>
      <c r="U203" s="11"/>
      <c r="V203" s="11"/>
    </row>
    <row r="204" spans="1:22">
      <c r="A204" s="7" t="s">
        <v>24</v>
      </c>
      <c r="B204" s="8">
        <v>46112</v>
      </c>
      <c r="C204" s="9">
        <v>0.34375</v>
      </c>
      <c r="D204" s="8">
        <v>46112</v>
      </c>
      <c r="E204" s="9">
        <v>0.35138888888888886</v>
      </c>
      <c r="F204" s="8">
        <v>46112</v>
      </c>
      <c r="G204" s="8">
        <v>46112</v>
      </c>
      <c r="H204" s="10" t="s">
        <v>264</v>
      </c>
      <c r="I204" s="10" t="s">
        <v>26</v>
      </c>
      <c r="J204" s="10" t="s">
        <v>264</v>
      </c>
      <c r="K204" s="10"/>
      <c r="L204" s="10" t="s">
        <v>49</v>
      </c>
      <c r="M204" s="10" t="s">
        <v>35</v>
      </c>
      <c r="N204" s="10"/>
      <c r="O204" s="10"/>
      <c r="P204" s="10" t="s">
        <v>30</v>
      </c>
      <c r="Q204" s="10" t="s">
        <v>244</v>
      </c>
      <c r="R204" s="10" t="s">
        <v>90</v>
      </c>
      <c r="S204" s="10" t="s">
        <v>33</v>
      </c>
      <c r="T204" s="10"/>
      <c r="U204" s="11"/>
      <c r="V204" s="11"/>
    </row>
    <row r="205" spans="1:22">
      <c r="A205" s="7" t="s">
        <v>24</v>
      </c>
      <c r="B205" s="8">
        <v>46112</v>
      </c>
      <c r="C205" s="9">
        <v>0.44722222222222224</v>
      </c>
      <c r="D205" s="8">
        <v>46112</v>
      </c>
      <c r="E205" s="9">
        <v>0.48333333333333334</v>
      </c>
      <c r="F205" s="8">
        <v>46113</v>
      </c>
      <c r="G205" s="8">
        <v>46116</v>
      </c>
      <c r="H205" s="10" t="s">
        <v>265</v>
      </c>
      <c r="I205" s="10" t="s">
        <v>26</v>
      </c>
      <c r="J205" s="10" t="s">
        <v>266</v>
      </c>
      <c r="K205" s="10" t="s">
        <v>267</v>
      </c>
      <c r="L205" s="10" t="s">
        <v>49</v>
      </c>
      <c r="M205" s="10" t="s">
        <v>35</v>
      </c>
      <c r="N205" s="10"/>
      <c r="O205" s="10"/>
      <c r="P205" s="10" t="s">
        <v>30</v>
      </c>
      <c r="Q205" s="10" t="s">
        <v>113</v>
      </c>
      <c r="R205" s="10" t="s">
        <v>126</v>
      </c>
      <c r="S205" s="10" t="s">
        <v>268</v>
      </c>
      <c r="T205" s="13"/>
      <c r="U205" s="14"/>
      <c r="V205" s="11"/>
    </row>
    <row r="206" spans="1:22">
      <c r="A206" s="7" t="s">
        <v>24</v>
      </c>
      <c r="B206" s="8">
        <v>46112</v>
      </c>
      <c r="C206" s="9">
        <v>0.49583333333333335</v>
      </c>
      <c r="D206" s="8">
        <v>46112</v>
      </c>
      <c r="E206" s="9">
        <v>0.49583333333333335</v>
      </c>
      <c r="F206" s="8"/>
      <c r="G206" s="8"/>
      <c r="H206" s="10"/>
      <c r="I206" s="10" t="s">
        <v>75</v>
      </c>
      <c r="J206" s="10"/>
      <c r="K206" s="10" t="s">
        <v>269</v>
      </c>
      <c r="L206" s="10" t="s">
        <v>75</v>
      </c>
      <c r="M206" s="10" t="s">
        <v>76</v>
      </c>
      <c r="N206" s="10"/>
      <c r="O206" s="10"/>
      <c r="P206" s="10" t="s">
        <v>61</v>
      </c>
      <c r="Q206" s="10" t="s">
        <v>62</v>
      </c>
      <c r="R206" s="10"/>
      <c r="S206" s="10"/>
      <c r="T206" s="10"/>
      <c r="U206" s="11"/>
      <c r="V206" s="11"/>
    </row>
    <row r="207" spans="1:22">
      <c r="A207" s="7" t="s">
        <v>24</v>
      </c>
      <c r="B207" s="8">
        <v>46113</v>
      </c>
      <c r="C207" s="9">
        <v>0.49791666666666667</v>
      </c>
      <c r="D207" s="8">
        <v>46113</v>
      </c>
      <c r="E207" s="9">
        <v>0.49791666666666667</v>
      </c>
      <c r="F207" s="8"/>
      <c r="G207" s="8"/>
      <c r="H207" s="10"/>
      <c r="I207" s="10" t="s">
        <v>26</v>
      </c>
      <c r="J207" s="10"/>
      <c r="K207" s="10" t="s">
        <v>270</v>
      </c>
      <c r="L207" s="10" t="s">
        <v>27</v>
      </c>
      <c r="M207" s="10" t="s">
        <v>190</v>
      </c>
      <c r="N207" s="10"/>
      <c r="O207" s="10"/>
      <c r="P207" s="10" t="s">
        <v>61</v>
      </c>
      <c r="Q207" s="10" t="s">
        <v>62</v>
      </c>
      <c r="R207" s="10"/>
      <c r="S207" s="10"/>
      <c r="T207" s="10"/>
      <c r="U207" s="11"/>
      <c r="V207" s="11"/>
    </row>
    <row r="208" spans="1:22">
      <c r="A208" s="7" t="s">
        <v>24</v>
      </c>
      <c r="B208" s="8">
        <v>46113</v>
      </c>
      <c r="C208" s="9">
        <v>0.33333333333333331</v>
      </c>
      <c r="D208" s="8">
        <v>46118</v>
      </c>
      <c r="E208" s="9">
        <v>0.33333333333333331</v>
      </c>
      <c r="F208" s="8">
        <v>46113</v>
      </c>
      <c r="G208" s="8">
        <v>46118</v>
      </c>
      <c r="H208" s="10" t="s">
        <v>271</v>
      </c>
      <c r="I208" s="10" t="s">
        <v>26</v>
      </c>
      <c r="J208" s="10" t="s">
        <v>272</v>
      </c>
      <c r="K208" s="10" t="s">
        <v>273</v>
      </c>
      <c r="L208" s="10" t="s">
        <v>27</v>
      </c>
      <c r="M208" s="10" t="s">
        <v>35</v>
      </c>
      <c r="N208" s="10" t="s">
        <v>274</v>
      </c>
      <c r="O208" s="10" t="s">
        <v>247</v>
      </c>
      <c r="P208" s="10" t="s">
        <v>30</v>
      </c>
      <c r="Q208" s="10" t="s">
        <v>66</v>
      </c>
      <c r="R208" s="10" t="s">
        <v>54</v>
      </c>
      <c r="S208" s="10" t="s">
        <v>68</v>
      </c>
      <c r="T208" s="10"/>
      <c r="U208" s="11"/>
      <c r="V208" s="11"/>
    </row>
    <row r="209" spans="1:22">
      <c r="A209" s="7" t="s">
        <v>24</v>
      </c>
      <c r="B209" s="8">
        <v>46113</v>
      </c>
      <c r="C209" s="9">
        <v>0.49791666666666667</v>
      </c>
      <c r="D209" s="8">
        <v>46113</v>
      </c>
      <c r="E209" s="9">
        <v>0.49791666666666667</v>
      </c>
      <c r="F209" s="8">
        <v>46120</v>
      </c>
      <c r="G209" s="8">
        <v>46121</v>
      </c>
      <c r="H209" s="10" t="s">
        <v>275</v>
      </c>
      <c r="I209" s="10" t="s">
        <v>26</v>
      </c>
      <c r="J209" s="10" t="s">
        <v>275</v>
      </c>
      <c r="K209" s="10"/>
      <c r="L209" s="10" t="s">
        <v>27</v>
      </c>
      <c r="M209" s="10" t="s">
        <v>35</v>
      </c>
      <c r="N209" s="10"/>
      <c r="O209" s="10"/>
      <c r="P209" s="10" t="s">
        <v>30</v>
      </c>
      <c r="Q209" s="10" t="s">
        <v>31</v>
      </c>
      <c r="R209" s="10" t="s">
        <v>36</v>
      </c>
      <c r="S209" s="10" t="s">
        <v>276</v>
      </c>
      <c r="T209" s="10"/>
      <c r="U209" s="11"/>
      <c r="V209" s="11"/>
    </row>
    <row r="210" spans="1:22">
      <c r="A210" s="7" t="s">
        <v>24</v>
      </c>
      <c r="B210" s="8">
        <v>46113</v>
      </c>
      <c r="C210" s="9">
        <v>0.45277777777777778</v>
      </c>
      <c r="D210" s="8">
        <v>46113</v>
      </c>
      <c r="E210" s="9">
        <v>0.49652777777777779</v>
      </c>
      <c r="F210" s="8"/>
      <c r="G210" s="8"/>
      <c r="H210" s="10"/>
      <c r="I210" s="10" t="s">
        <v>26</v>
      </c>
      <c r="J210" s="10"/>
      <c r="K210" s="10" t="s">
        <v>277</v>
      </c>
      <c r="L210" s="10" t="s">
        <v>49</v>
      </c>
      <c r="M210" s="10" t="s">
        <v>89</v>
      </c>
      <c r="N210" s="10"/>
      <c r="O210" s="10"/>
      <c r="P210" s="10" t="s">
        <v>61</v>
      </c>
      <c r="Q210" s="10" t="s">
        <v>62</v>
      </c>
      <c r="R210" s="10"/>
      <c r="S210" s="10"/>
      <c r="T210" s="10"/>
      <c r="U210" s="11"/>
      <c r="V210" s="11"/>
    </row>
    <row r="211" spans="1:22">
      <c r="A211" s="7" t="s">
        <v>24</v>
      </c>
      <c r="B211" s="8">
        <v>46113</v>
      </c>
      <c r="C211" s="9">
        <v>0.37777777777777777</v>
      </c>
      <c r="D211" s="8">
        <v>46113</v>
      </c>
      <c r="E211" s="9">
        <v>0.37777777777777777</v>
      </c>
      <c r="F211" s="8"/>
      <c r="G211" s="8"/>
      <c r="H211" s="10"/>
      <c r="I211" s="10" t="s">
        <v>26</v>
      </c>
      <c r="J211" s="10"/>
      <c r="K211" s="10" t="s">
        <v>278</v>
      </c>
      <c r="L211" s="10" t="s">
        <v>49</v>
      </c>
      <c r="M211" s="10" t="s">
        <v>35</v>
      </c>
      <c r="N211" s="10"/>
      <c r="O211" s="10"/>
      <c r="P211" s="10" t="s">
        <v>61</v>
      </c>
      <c r="Q211" s="10" t="s">
        <v>62</v>
      </c>
      <c r="R211" s="10"/>
      <c r="S211" s="10"/>
      <c r="T211" s="10"/>
      <c r="U211" s="11"/>
      <c r="V211" s="11"/>
    </row>
    <row r="212" spans="1:22">
      <c r="A212" s="7" t="s">
        <v>24</v>
      </c>
      <c r="B212" s="8">
        <v>46113</v>
      </c>
      <c r="C212" s="9">
        <v>0.68263888888888891</v>
      </c>
      <c r="D212" s="8">
        <v>46089</v>
      </c>
      <c r="E212" s="9">
        <v>0.53888888888888886</v>
      </c>
      <c r="F212" s="8"/>
      <c r="G212" s="8"/>
      <c r="H212" s="10"/>
      <c r="I212" s="10" t="s">
        <v>75</v>
      </c>
      <c r="J212" s="10"/>
      <c r="K212" s="10" t="s">
        <v>279</v>
      </c>
      <c r="L212" s="10" t="s">
        <v>75</v>
      </c>
      <c r="M212" s="10" t="s">
        <v>76</v>
      </c>
      <c r="N212" s="10"/>
      <c r="O212" s="10"/>
      <c r="P212" s="10" t="s">
        <v>61</v>
      </c>
      <c r="Q212" s="10" t="s">
        <v>62</v>
      </c>
      <c r="R212" s="10"/>
      <c r="S212" s="10"/>
      <c r="T212" s="10"/>
      <c r="U212" s="11"/>
      <c r="V212" s="11"/>
    </row>
    <row r="213" spans="1:22">
      <c r="A213" s="7" t="s">
        <v>24</v>
      </c>
      <c r="B213" s="8">
        <v>46113</v>
      </c>
      <c r="C213" s="9">
        <v>0.50763888888888886</v>
      </c>
      <c r="D213" s="8">
        <v>46113</v>
      </c>
      <c r="E213" s="9">
        <v>0.50763888888888886</v>
      </c>
      <c r="F213" s="8"/>
      <c r="G213" s="8"/>
      <c r="H213" s="10"/>
      <c r="I213" s="10" t="s">
        <v>75</v>
      </c>
      <c r="J213" s="10"/>
      <c r="K213" s="10" t="s">
        <v>280</v>
      </c>
      <c r="L213" s="10" t="s">
        <v>75</v>
      </c>
      <c r="M213" s="10" t="s">
        <v>76</v>
      </c>
      <c r="N213" s="10"/>
      <c r="O213" s="10"/>
      <c r="P213" s="10" t="s">
        <v>61</v>
      </c>
      <c r="Q213" s="10" t="s">
        <v>62</v>
      </c>
      <c r="R213" s="10"/>
      <c r="S213" s="10"/>
      <c r="T213" s="10"/>
      <c r="U213" s="11"/>
      <c r="V213" s="11"/>
    </row>
    <row r="214" spans="1:22">
      <c r="A214" s="7" t="s">
        <v>24</v>
      </c>
      <c r="B214" s="8">
        <v>46113</v>
      </c>
      <c r="C214" s="9">
        <v>0.28749999999999998</v>
      </c>
      <c r="D214" s="8">
        <v>46113</v>
      </c>
      <c r="E214" s="9">
        <v>0.28749999999999998</v>
      </c>
      <c r="F214" s="8"/>
      <c r="G214" s="8"/>
      <c r="H214" s="10"/>
      <c r="I214" s="10" t="s">
        <v>75</v>
      </c>
      <c r="J214" s="10"/>
      <c r="K214" s="10" t="s">
        <v>281</v>
      </c>
      <c r="L214" s="10" t="s">
        <v>75</v>
      </c>
      <c r="M214" s="10" t="s">
        <v>76</v>
      </c>
      <c r="N214" s="10"/>
      <c r="O214" s="10"/>
      <c r="P214" s="10" t="s">
        <v>61</v>
      </c>
      <c r="Q214" s="10" t="s">
        <v>62</v>
      </c>
      <c r="R214" s="10"/>
      <c r="S214" s="10"/>
      <c r="T214" s="10"/>
      <c r="U214" s="11"/>
      <c r="V214" s="11"/>
    </row>
    <row r="215" spans="1:22">
      <c r="A215" s="7" t="s">
        <v>24</v>
      </c>
      <c r="B215" s="8">
        <v>46114</v>
      </c>
      <c r="C215" s="9">
        <v>0.48055555555555557</v>
      </c>
      <c r="D215" s="8">
        <v>46089</v>
      </c>
      <c r="E215" s="9">
        <v>0.53819444444444442</v>
      </c>
      <c r="F215" s="8"/>
      <c r="G215" s="8"/>
      <c r="H215" s="10"/>
      <c r="I215" s="10" t="s">
        <v>75</v>
      </c>
      <c r="J215" s="10"/>
      <c r="K215" s="10" t="s">
        <v>282</v>
      </c>
      <c r="L215" s="10" t="s">
        <v>75</v>
      </c>
      <c r="M215" s="10" t="s">
        <v>76</v>
      </c>
      <c r="N215" s="10"/>
      <c r="O215" s="10"/>
      <c r="P215" s="10" t="s">
        <v>61</v>
      </c>
      <c r="Q215" s="10" t="s">
        <v>62</v>
      </c>
      <c r="R215" s="10"/>
      <c r="S215" s="10"/>
      <c r="T215" s="10"/>
      <c r="U215" s="11"/>
      <c r="V215" s="11"/>
    </row>
    <row r="216" spans="1:22">
      <c r="A216" s="7" t="s">
        <v>24</v>
      </c>
      <c r="B216" s="8">
        <v>46114</v>
      </c>
      <c r="C216" s="9">
        <v>0.33819444444444446</v>
      </c>
      <c r="D216" s="8">
        <v>46089</v>
      </c>
      <c r="E216" s="9">
        <v>0.53819444444444442</v>
      </c>
      <c r="F216" s="8"/>
      <c r="G216" s="8"/>
      <c r="H216" s="10"/>
      <c r="I216" s="10" t="s">
        <v>75</v>
      </c>
      <c r="J216" s="10"/>
      <c r="K216" s="10" t="s">
        <v>283</v>
      </c>
      <c r="L216" s="10" t="s">
        <v>75</v>
      </c>
      <c r="M216" s="10" t="s">
        <v>76</v>
      </c>
      <c r="N216" s="10"/>
      <c r="O216" s="10"/>
      <c r="P216" s="10" t="s">
        <v>61</v>
      </c>
      <c r="Q216" s="10" t="s">
        <v>62</v>
      </c>
      <c r="R216" s="10"/>
      <c r="S216" s="10"/>
      <c r="T216" s="10"/>
      <c r="U216" s="11"/>
      <c r="V216" s="11"/>
    </row>
    <row r="217" spans="1:22">
      <c r="A217" s="7" t="s">
        <v>24</v>
      </c>
      <c r="B217" s="8">
        <v>46115</v>
      </c>
      <c r="C217" s="9">
        <v>0.69791666666666663</v>
      </c>
      <c r="D217" s="8">
        <v>46089</v>
      </c>
      <c r="E217" s="9">
        <v>0.53472222222222221</v>
      </c>
      <c r="F217" s="8"/>
      <c r="G217" s="8"/>
      <c r="H217" s="10"/>
      <c r="I217" s="10" t="s">
        <v>75</v>
      </c>
      <c r="J217" s="10"/>
      <c r="K217" s="10" t="s">
        <v>284</v>
      </c>
      <c r="L217" s="10" t="s">
        <v>75</v>
      </c>
      <c r="M217" s="10" t="s">
        <v>76</v>
      </c>
      <c r="N217" s="10"/>
      <c r="O217" s="10"/>
      <c r="P217" s="10" t="s">
        <v>61</v>
      </c>
      <c r="Q217" s="10" t="s">
        <v>62</v>
      </c>
      <c r="R217" s="10"/>
      <c r="S217" s="10"/>
      <c r="T217" s="10"/>
      <c r="U217" s="11"/>
      <c r="V217" s="11"/>
    </row>
    <row r="218" spans="1:22">
      <c r="A218" s="7" t="s">
        <v>24</v>
      </c>
      <c r="B218" s="8">
        <v>46116</v>
      </c>
      <c r="C218" s="9">
        <v>0.44722222222222224</v>
      </c>
      <c r="D218" s="8">
        <v>46089</v>
      </c>
      <c r="E218" s="9">
        <v>0.53333333333333333</v>
      </c>
      <c r="F218" s="8"/>
      <c r="G218" s="8"/>
      <c r="H218" s="10"/>
      <c r="I218" s="10" t="s">
        <v>75</v>
      </c>
      <c r="J218" s="10"/>
      <c r="K218" s="10" t="s">
        <v>285</v>
      </c>
      <c r="L218" s="10" t="s">
        <v>75</v>
      </c>
      <c r="M218" s="10" t="s">
        <v>76</v>
      </c>
      <c r="N218" s="10"/>
      <c r="O218" s="10"/>
      <c r="P218" s="10" t="s">
        <v>61</v>
      </c>
      <c r="Q218" s="10" t="s">
        <v>62</v>
      </c>
      <c r="R218" s="10"/>
      <c r="S218" s="10"/>
      <c r="T218" s="10"/>
      <c r="U218" s="11"/>
      <c r="V218" s="11"/>
    </row>
    <row r="219" spans="1:22">
      <c r="A219" s="7" t="s">
        <v>24</v>
      </c>
      <c r="B219" s="8">
        <v>46116</v>
      </c>
      <c r="C219" s="9">
        <v>0.40069444444444446</v>
      </c>
      <c r="D219" s="8">
        <v>46089</v>
      </c>
      <c r="E219" s="9">
        <v>0.53402777777777777</v>
      </c>
      <c r="F219" s="8"/>
      <c r="G219" s="8"/>
      <c r="H219" s="10"/>
      <c r="I219" s="10" t="s">
        <v>75</v>
      </c>
      <c r="J219" s="10"/>
      <c r="K219" s="10" t="s">
        <v>286</v>
      </c>
      <c r="L219" s="10" t="s">
        <v>75</v>
      </c>
      <c r="M219" s="10" t="s">
        <v>76</v>
      </c>
      <c r="N219" s="10"/>
      <c r="O219" s="10"/>
      <c r="P219" s="10" t="s">
        <v>61</v>
      </c>
      <c r="Q219" s="10" t="s">
        <v>62</v>
      </c>
      <c r="R219" s="10"/>
      <c r="S219" s="10"/>
      <c r="T219" s="10"/>
      <c r="U219" s="11"/>
      <c r="V219" s="11"/>
    </row>
    <row r="220" spans="1:22">
      <c r="A220" s="7" t="s">
        <v>24</v>
      </c>
      <c r="B220" s="8">
        <v>46116</v>
      </c>
      <c r="C220" s="9">
        <v>0.41249999999999998</v>
      </c>
      <c r="D220" s="8">
        <v>46089</v>
      </c>
      <c r="E220" s="9">
        <v>0.53333333333333333</v>
      </c>
      <c r="F220" s="8"/>
      <c r="G220" s="8"/>
      <c r="H220" s="10"/>
      <c r="I220" s="10" t="s">
        <v>75</v>
      </c>
      <c r="J220" s="10"/>
      <c r="K220" s="10" t="s">
        <v>287</v>
      </c>
      <c r="L220" s="10" t="s">
        <v>75</v>
      </c>
      <c r="M220" s="10" t="s">
        <v>76</v>
      </c>
      <c r="N220" s="10"/>
      <c r="O220" s="10"/>
      <c r="P220" s="10" t="s">
        <v>61</v>
      </c>
      <c r="Q220" s="10" t="s">
        <v>62</v>
      </c>
      <c r="R220" s="10"/>
      <c r="S220" s="10"/>
      <c r="T220" s="10"/>
      <c r="U220" s="11"/>
      <c r="V220" s="11"/>
    </row>
    <row r="221" spans="1:22">
      <c r="A221" s="7" t="s">
        <v>24</v>
      </c>
      <c r="B221" s="8">
        <v>46116</v>
      </c>
      <c r="C221" s="9">
        <v>0.51180555555555551</v>
      </c>
      <c r="D221" s="8">
        <v>46089</v>
      </c>
      <c r="E221" s="9">
        <v>0.53541666666666665</v>
      </c>
      <c r="F221" s="8"/>
      <c r="G221" s="8"/>
      <c r="H221" s="10"/>
      <c r="I221" s="10" t="s">
        <v>75</v>
      </c>
      <c r="J221" s="10"/>
      <c r="K221" s="10" t="s">
        <v>288</v>
      </c>
      <c r="L221" s="10" t="s">
        <v>75</v>
      </c>
      <c r="M221" s="10" t="s">
        <v>76</v>
      </c>
      <c r="N221" s="10"/>
      <c r="O221" s="10"/>
      <c r="P221" s="10" t="s">
        <v>61</v>
      </c>
      <c r="Q221" s="10" t="s">
        <v>62</v>
      </c>
      <c r="R221" s="10"/>
      <c r="S221" s="10"/>
      <c r="T221" s="10"/>
      <c r="U221" s="11"/>
      <c r="V221" s="11"/>
    </row>
    <row r="222" spans="1:22">
      <c r="A222" s="7" t="s">
        <v>24</v>
      </c>
      <c r="B222" s="8">
        <v>46116</v>
      </c>
      <c r="C222" s="9">
        <v>0.3576388888888889</v>
      </c>
      <c r="D222" s="8">
        <v>46089</v>
      </c>
      <c r="E222" s="9">
        <v>0.53402777777777777</v>
      </c>
      <c r="F222" s="8"/>
      <c r="G222" s="8"/>
      <c r="H222" s="10"/>
      <c r="I222" s="10" t="s">
        <v>75</v>
      </c>
      <c r="J222" s="10"/>
      <c r="K222" s="10" t="s">
        <v>289</v>
      </c>
      <c r="L222" s="10" t="s">
        <v>75</v>
      </c>
      <c r="M222" s="10" t="s">
        <v>76</v>
      </c>
      <c r="N222" s="10"/>
      <c r="O222" s="10"/>
      <c r="P222" s="10" t="s">
        <v>61</v>
      </c>
      <c r="Q222" s="10" t="s">
        <v>62</v>
      </c>
      <c r="R222" s="10"/>
      <c r="S222" s="10"/>
      <c r="T222" s="10"/>
      <c r="U222" s="11"/>
      <c r="V222" s="11"/>
    </row>
    <row r="223" spans="1:22">
      <c r="A223" s="7" t="s">
        <v>24</v>
      </c>
      <c r="B223" s="8">
        <v>46117</v>
      </c>
      <c r="C223" s="9">
        <v>0.39791666666666664</v>
      </c>
      <c r="D223" s="8">
        <v>46089</v>
      </c>
      <c r="E223" s="9">
        <v>0.53611111111111109</v>
      </c>
      <c r="F223" s="8"/>
      <c r="G223" s="8"/>
      <c r="H223" s="10" t="s">
        <v>62</v>
      </c>
      <c r="I223" s="10" t="s">
        <v>80</v>
      </c>
      <c r="J223" s="10"/>
      <c r="K223" s="10" t="s">
        <v>290</v>
      </c>
      <c r="L223" s="10" t="s">
        <v>91</v>
      </c>
      <c r="M223" s="10" t="s">
        <v>35</v>
      </c>
      <c r="N223" s="10"/>
      <c r="O223" s="10"/>
      <c r="P223" s="10" t="s">
        <v>61</v>
      </c>
      <c r="Q223" s="10" t="s">
        <v>62</v>
      </c>
      <c r="R223" s="10" t="s">
        <v>92</v>
      </c>
      <c r="S223" s="10" t="s">
        <v>93</v>
      </c>
      <c r="T223" s="10"/>
      <c r="U223" s="11"/>
      <c r="V223" s="11"/>
    </row>
    <row r="224" spans="1:22">
      <c r="A224" s="7" t="s">
        <v>24</v>
      </c>
      <c r="B224" s="8">
        <v>46117</v>
      </c>
      <c r="C224" s="9">
        <v>0.77569444444444446</v>
      </c>
      <c r="D224" s="8">
        <v>46089</v>
      </c>
      <c r="E224" s="9">
        <v>0.53749999999999998</v>
      </c>
      <c r="F224" s="8"/>
      <c r="G224" s="8"/>
      <c r="H224" s="10"/>
      <c r="I224" s="10" t="s">
        <v>75</v>
      </c>
      <c r="J224" s="10"/>
      <c r="K224" s="10" t="s">
        <v>291</v>
      </c>
      <c r="L224" s="10" t="s">
        <v>75</v>
      </c>
      <c r="M224" s="10" t="s">
        <v>76</v>
      </c>
      <c r="N224" s="10"/>
      <c r="O224" s="10"/>
      <c r="P224" s="10" t="s">
        <v>61</v>
      </c>
      <c r="Q224" s="10" t="s">
        <v>62</v>
      </c>
      <c r="R224" s="10"/>
      <c r="S224" s="10"/>
      <c r="T224" s="10"/>
      <c r="U224" s="11"/>
      <c r="V224" s="11"/>
    </row>
    <row r="225" spans="1:22">
      <c r="A225" s="7" t="s">
        <v>24</v>
      </c>
      <c r="B225" s="8">
        <v>46117</v>
      </c>
      <c r="C225" s="9">
        <v>0.78541666666666665</v>
      </c>
      <c r="D225" s="8">
        <v>46089</v>
      </c>
      <c r="E225" s="9">
        <v>0.53125</v>
      </c>
      <c r="F225" s="8"/>
      <c r="G225" s="8"/>
      <c r="H225" s="10"/>
      <c r="I225" s="10" t="s">
        <v>75</v>
      </c>
      <c r="J225" s="10"/>
      <c r="K225" s="10" t="s">
        <v>292</v>
      </c>
      <c r="L225" s="10" t="s">
        <v>75</v>
      </c>
      <c r="M225" s="10" t="s">
        <v>76</v>
      </c>
      <c r="N225" s="10"/>
      <c r="O225" s="10"/>
      <c r="P225" s="10" t="s">
        <v>61</v>
      </c>
      <c r="Q225" s="10" t="s">
        <v>62</v>
      </c>
      <c r="R225" s="10"/>
      <c r="S225" s="10"/>
      <c r="T225" s="10"/>
      <c r="U225" s="11"/>
      <c r="V225" s="11"/>
    </row>
    <row r="226" spans="1:22">
      <c r="A226" s="7" t="s">
        <v>24</v>
      </c>
      <c r="B226" s="8">
        <v>46117</v>
      </c>
      <c r="C226" s="9">
        <v>0.27430555555555558</v>
      </c>
      <c r="D226" s="8">
        <v>46089</v>
      </c>
      <c r="E226" s="9">
        <v>0.53263888888888888</v>
      </c>
      <c r="F226" s="8"/>
      <c r="G226" s="8"/>
      <c r="H226" s="10"/>
      <c r="I226" s="10" t="s">
        <v>75</v>
      </c>
      <c r="J226" s="10"/>
      <c r="K226" s="10" t="s">
        <v>293</v>
      </c>
      <c r="L226" s="10" t="s">
        <v>75</v>
      </c>
      <c r="M226" s="10" t="s">
        <v>76</v>
      </c>
      <c r="N226" s="10"/>
      <c r="O226" s="10"/>
      <c r="P226" s="10" t="s">
        <v>61</v>
      </c>
      <c r="Q226" s="10" t="s">
        <v>62</v>
      </c>
      <c r="R226" s="10"/>
      <c r="S226" s="10"/>
      <c r="T226" s="10"/>
      <c r="U226" s="11"/>
      <c r="V226" s="11"/>
    </row>
    <row r="227" spans="1:22">
      <c r="A227" s="7" t="s">
        <v>24</v>
      </c>
      <c r="B227" s="8">
        <v>46118</v>
      </c>
      <c r="C227" s="9">
        <v>5.4166666666666669E-2</v>
      </c>
      <c r="D227" s="8">
        <v>46089</v>
      </c>
      <c r="E227" s="9">
        <v>0.5229166666666667</v>
      </c>
      <c r="F227" s="8"/>
      <c r="G227" s="8"/>
      <c r="H227" s="10" t="s">
        <v>294</v>
      </c>
      <c r="I227" s="10" t="s">
        <v>26</v>
      </c>
      <c r="J227" s="10" t="s">
        <v>294</v>
      </c>
      <c r="K227" s="10"/>
      <c r="L227" s="10" t="s">
        <v>27</v>
      </c>
      <c r="M227" s="10" t="s">
        <v>35</v>
      </c>
      <c r="N227" s="10"/>
      <c r="O227" s="10"/>
      <c r="P227" s="10" t="s">
        <v>61</v>
      </c>
      <c r="Q227" s="10" t="s">
        <v>62</v>
      </c>
      <c r="R227" s="10"/>
      <c r="S227" s="10"/>
      <c r="T227" s="10"/>
      <c r="U227" s="11"/>
      <c r="V227" s="11"/>
    </row>
    <row r="228" spans="1:22">
      <c r="A228" s="7" t="s">
        <v>24</v>
      </c>
      <c r="B228" s="8">
        <v>46118</v>
      </c>
      <c r="C228" s="9">
        <v>0.47916666666666669</v>
      </c>
      <c r="D228" s="8">
        <v>46089</v>
      </c>
      <c r="E228" s="9">
        <v>0.52916666666666667</v>
      </c>
      <c r="F228" s="8"/>
      <c r="G228" s="8"/>
      <c r="H228" s="10"/>
      <c r="I228" s="10" t="s">
        <v>26</v>
      </c>
      <c r="J228" s="10"/>
      <c r="K228" s="10" t="s">
        <v>295</v>
      </c>
      <c r="L228" s="10" t="s">
        <v>49</v>
      </c>
      <c r="M228" s="10" t="s">
        <v>72</v>
      </c>
      <c r="N228" s="10"/>
      <c r="O228" s="10"/>
      <c r="P228" s="10" t="s">
        <v>61</v>
      </c>
      <c r="Q228" s="10" t="s">
        <v>62</v>
      </c>
      <c r="R228" s="10"/>
      <c r="S228" s="10"/>
      <c r="T228" s="10"/>
      <c r="U228" s="11"/>
      <c r="V228" s="11"/>
    </row>
    <row r="229" spans="1:22">
      <c r="A229" s="7" t="s">
        <v>24</v>
      </c>
      <c r="B229" s="8">
        <v>46118</v>
      </c>
      <c r="C229" s="9">
        <v>0.36805555555555558</v>
      </c>
      <c r="D229" s="8">
        <v>46119</v>
      </c>
      <c r="E229" s="9">
        <v>0.36180555555555555</v>
      </c>
      <c r="F229" s="8"/>
      <c r="G229" s="8"/>
      <c r="H229" s="10" t="s">
        <v>62</v>
      </c>
      <c r="I229" s="10" t="s">
        <v>80</v>
      </c>
      <c r="J229" s="10"/>
      <c r="K229" s="10" t="s">
        <v>296</v>
      </c>
      <c r="L229" s="10" t="s">
        <v>91</v>
      </c>
      <c r="M229" s="10" t="s">
        <v>35</v>
      </c>
      <c r="N229" s="10"/>
      <c r="O229" s="10"/>
      <c r="P229" s="10" t="s">
        <v>61</v>
      </c>
      <c r="Q229" s="10" t="s">
        <v>62</v>
      </c>
      <c r="R229" s="10" t="s">
        <v>92</v>
      </c>
      <c r="S229" s="10" t="s">
        <v>93</v>
      </c>
      <c r="T229" s="10"/>
      <c r="U229" s="11"/>
      <c r="V229" s="11"/>
    </row>
    <row r="230" spans="1:22">
      <c r="A230" s="7" t="s">
        <v>24</v>
      </c>
      <c r="B230" s="8">
        <v>46118</v>
      </c>
      <c r="C230" s="9">
        <v>0.49444444444444446</v>
      </c>
      <c r="D230" s="8">
        <v>46089</v>
      </c>
      <c r="E230" s="9">
        <v>0.52777777777777779</v>
      </c>
      <c r="F230" s="8"/>
      <c r="G230" s="8"/>
      <c r="H230" s="10" t="s">
        <v>62</v>
      </c>
      <c r="I230" s="10" t="s">
        <v>80</v>
      </c>
      <c r="J230" s="10"/>
      <c r="K230" s="10" t="s">
        <v>297</v>
      </c>
      <c r="L230" s="10" t="s">
        <v>91</v>
      </c>
      <c r="M230" s="10" t="s">
        <v>35</v>
      </c>
      <c r="N230" s="10"/>
      <c r="O230" s="10"/>
      <c r="P230" s="10" t="s">
        <v>61</v>
      </c>
      <c r="Q230" s="10" t="s">
        <v>62</v>
      </c>
      <c r="R230" s="10" t="s">
        <v>92</v>
      </c>
      <c r="S230" s="10" t="s">
        <v>93</v>
      </c>
      <c r="T230" s="10"/>
      <c r="U230" s="11"/>
      <c r="V230" s="11"/>
    </row>
    <row r="231" spans="1:22">
      <c r="A231" s="7" t="s">
        <v>173</v>
      </c>
      <c r="B231" s="8">
        <v>46118</v>
      </c>
      <c r="C231" s="9">
        <v>0.57638888888888884</v>
      </c>
      <c r="D231" s="8">
        <v>46089</v>
      </c>
      <c r="E231" s="9">
        <v>0.52152777777777781</v>
      </c>
      <c r="F231" s="8"/>
      <c r="G231" s="8"/>
      <c r="H231" s="10" t="s">
        <v>298</v>
      </c>
      <c r="I231" s="10" t="s">
        <v>75</v>
      </c>
      <c r="J231" s="10" t="s">
        <v>298</v>
      </c>
      <c r="K231" s="10"/>
      <c r="L231" s="10" t="s">
        <v>75</v>
      </c>
      <c r="M231" s="10" t="s">
        <v>76</v>
      </c>
      <c r="N231" s="10"/>
      <c r="O231" s="10"/>
      <c r="P231" s="10" t="s">
        <v>61</v>
      </c>
      <c r="Q231" s="10" t="s">
        <v>62</v>
      </c>
      <c r="R231" s="10"/>
      <c r="S231" s="10"/>
      <c r="T231" s="10"/>
      <c r="U231" s="11"/>
      <c r="V231" s="11"/>
    </row>
    <row r="232" spans="1:22">
      <c r="A232" s="7" t="s">
        <v>24</v>
      </c>
      <c r="B232" s="8">
        <v>46118</v>
      </c>
      <c r="C232" s="9">
        <v>0.45694444444444443</v>
      </c>
      <c r="D232" s="8">
        <v>46089</v>
      </c>
      <c r="E232" s="9">
        <v>0.53055555555555556</v>
      </c>
      <c r="F232" s="8"/>
      <c r="G232" s="8"/>
      <c r="H232" s="10"/>
      <c r="I232" s="10" t="s">
        <v>75</v>
      </c>
      <c r="J232" s="10"/>
      <c r="K232" s="10" t="s">
        <v>299</v>
      </c>
      <c r="L232" s="10" t="s">
        <v>75</v>
      </c>
      <c r="M232" s="10" t="s">
        <v>76</v>
      </c>
      <c r="N232" s="10"/>
      <c r="O232" s="10"/>
      <c r="P232" s="10" t="s">
        <v>61</v>
      </c>
      <c r="Q232" s="10" t="s">
        <v>62</v>
      </c>
      <c r="R232" s="10"/>
      <c r="S232" s="10"/>
      <c r="T232" s="10"/>
      <c r="U232" s="11"/>
      <c r="V232" s="11"/>
    </row>
    <row r="233" spans="1:22">
      <c r="A233" s="7" t="s">
        <v>24</v>
      </c>
      <c r="B233" s="8">
        <v>46118</v>
      </c>
      <c r="C233" s="9">
        <v>0.45347222222222222</v>
      </c>
      <c r="D233" s="8">
        <v>46089</v>
      </c>
      <c r="E233" s="9">
        <v>0.52500000000000002</v>
      </c>
      <c r="F233" s="8"/>
      <c r="G233" s="8"/>
      <c r="H233" s="10"/>
      <c r="I233" s="10" t="s">
        <v>75</v>
      </c>
      <c r="J233" s="10"/>
      <c r="K233" s="10" t="s">
        <v>300</v>
      </c>
      <c r="L233" s="10" t="s">
        <v>75</v>
      </c>
      <c r="M233" s="10" t="s">
        <v>76</v>
      </c>
      <c r="N233" s="10"/>
      <c r="O233" s="10"/>
      <c r="P233" s="10" t="s">
        <v>61</v>
      </c>
      <c r="Q233" s="10" t="s">
        <v>62</v>
      </c>
      <c r="R233" s="10"/>
      <c r="S233" s="10"/>
      <c r="T233" s="10"/>
      <c r="U233" s="11"/>
      <c r="V233" s="11"/>
    </row>
    <row r="234" spans="1:22">
      <c r="A234" s="7" t="s">
        <v>24</v>
      </c>
      <c r="B234" s="8">
        <v>46118</v>
      </c>
      <c r="C234" s="9">
        <v>0.32847222222222222</v>
      </c>
      <c r="D234" s="8">
        <v>46089</v>
      </c>
      <c r="E234" s="9">
        <v>0.53125</v>
      </c>
      <c r="F234" s="8"/>
      <c r="G234" s="8"/>
      <c r="H234" s="10"/>
      <c r="I234" s="10" t="s">
        <v>75</v>
      </c>
      <c r="J234" s="10"/>
      <c r="K234" s="10" t="s">
        <v>301</v>
      </c>
      <c r="L234" s="10" t="s">
        <v>75</v>
      </c>
      <c r="M234" s="10" t="s">
        <v>76</v>
      </c>
      <c r="N234" s="10"/>
      <c r="O234" s="10"/>
      <c r="P234" s="10" t="s">
        <v>61</v>
      </c>
      <c r="Q234" s="10" t="s">
        <v>62</v>
      </c>
      <c r="R234" s="10"/>
      <c r="S234" s="10"/>
      <c r="T234" s="10"/>
      <c r="U234" s="11"/>
      <c r="V234" s="11"/>
    </row>
    <row r="235" spans="1:22">
      <c r="A235" s="7" t="s">
        <v>24</v>
      </c>
      <c r="B235" s="8">
        <v>46118</v>
      </c>
      <c r="C235" s="9">
        <v>0.49861111111111112</v>
      </c>
      <c r="D235" s="8">
        <v>46089</v>
      </c>
      <c r="E235" s="9">
        <v>0.52708333333333335</v>
      </c>
      <c r="F235" s="8"/>
      <c r="G235" s="8"/>
      <c r="H235" s="10"/>
      <c r="I235" s="10" t="s">
        <v>99</v>
      </c>
      <c r="J235" s="10"/>
      <c r="K235" s="10" t="s">
        <v>302</v>
      </c>
      <c r="L235" s="10" t="s">
        <v>101</v>
      </c>
      <c r="M235" s="10" t="s">
        <v>102</v>
      </c>
      <c r="N235" s="10"/>
      <c r="O235" s="10"/>
      <c r="P235" s="10" t="s">
        <v>61</v>
      </c>
      <c r="Q235" s="10" t="s">
        <v>62</v>
      </c>
      <c r="R235" s="10"/>
      <c r="S235" s="10" t="s">
        <v>103</v>
      </c>
      <c r="T235" s="10"/>
      <c r="U235" s="11"/>
      <c r="V235" s="11"/>
    </row>
    <row r="236" spans="1:22">
      <c r="A236" s="7" t="s">
        <v>24</v>
      </c>
      <c r="B236" s="8">
        <v>46118</v>
      </c>
      <c r="C236" s="9">
        <v>0.16944444444444445</v>
      </c>
      <c r="D236" s="8">
        <v>46089</v>
      </c>
      <c r="E236" s="9">
        <v>0.51944444444444449</v>
      </c>
      <c r="F236" s="8"/>
      <c r="G236" s="8"/>
      <c r="H236" s="10" t="s">
        <v>62</v>
      </c>
      <c r="I236" s="10" t="s">
        <v>80</v>
      </c>
      <c r="J236" s="10"/>
      <c r="K236" s="10" t="s">
        <v>303</v>
      </c>
      <c r="L236" s="10" t="s">
        <v>81</v>
      </c>
      <c r="M236" s="10" t="s">
        <v>82</v>
      </c>
      <c r="N236" s="10"/>
      <c r="O236" s="10"/>
      <c r="P236" s="10" t="s">
        <v>61</v>
      </c>
      <c r="Q236" s="10" t="s">
        <v>62</v>
      </c>
      <c r="R236" s="10"/>
      <c r="S236" s="10" t="s">
        <v>83</v>
      </c>
      <c r="T236" s="10"/>
      <c r="U236" s="11"/>
      <c r="V236" s="11"/>
    </row>
    <row r="237" spans="1:22">
      <c r="A237" s="7" t="s">
        <v>24</v>
      </c>
      <c r="B237" s="8">
        <v>46118</v>
      </c>
      <c r="C237" s="9">
        <v>0.47013888888888888</v>
      </c>
      <c r="D237" s="8">
        <v>46089</v>
      </c>
      <c r="E237" s="9">
        <v>0.52986111111111112</v>
      </c>
      <c r="F237" s="8"/>
      <c r="G237" s="8"/>
      <c r="H237" s="10" t="s">
        <v>62</v>
      </c>
      <c r="I237" s="10" t="s">
        <v>80</v>
      </c>
      <c r="J237" s="10"/>
      <c r="K237" s="10" t="s">
        <v>304</v>
      </c>
      <c r="L237" s="10" t="s">
        <v>81</v>
      </c>
      <c r="M237" s="10" t="s">
        <v>82</v>
      </c>
      <c r="N237" s="10"/>
      <c r="O237" s="10"/>
      <c r="P237" s="10" t="s">
        <v>61</v>
      </c>
      <c r="Q237" s="10" t="s">
        <v>62</v>
      </c>
      <c r="R237" s="10"/>
      <c r="S237" s="10" t="s">
        <v>83</v>
      </c>
      <c r="T237" s="10"/>
      <c r="U237" s="11"/>
      <c r="V237" s="11"/>
    </row>
    <row r="238" spans="1:22">
      <c r="A238" s="7" t="s">
        <v>24</v>
      </c>
      <c r="B238" s="8">
        <v>46119</v>
      </c>
      <c r="C238" s="9">
        <v>0.54166666666666663</v>
      </c>
      <c r="D238" s="8">
        <v>46120</v>
      </c>
      <c r="E238" s="9">
        <v>0.43819444444444444</v>
      </c>
      <c r="F238" s="8">
        <v>46120</v>
      </c>
      <c r="G238" s="8">
        <v>46120</v>
      </c>
      <c r="H238" s="10" t="s">
        <v>305</v>
      </c>
      <c r="I238" s="10" t="s">
        <v>26</v>
      </c>
      <c r="J238" s="10" t="s">
        <v>305</v>
      </c>
      <c r="K238" s="10"/>
      <c r="L238" s="10" t="s">
        <v>27</v>
      </c>
      <c r="M238" s="10" t="s">
        <v>35</v>
      </c>
      <c r="N238" s="10"/>
      <c r="O238" s="10"/>
      <c r="P238" s="10" t="s">
        <v>30</v>
      </c>
      <c r="Q238" s="10" t="s">
        <v>31</v>
      </c>
      <c r="R238" s="10" t="s">
        <v>126</v>
      </c>
      <c r="S238" s="10" t="s">
        <v>46</v>
      </c>
      <c r="T238" s="10"/>
      <c r="U238" s="11"/>
      <c r="V238" s="11"/>
    </row>
    <row r="239" spans="1:22">
      <c r="A239" s="7" t="s">
        <v>24</v>
      </c>
      <c r="B239" s="8">
        <v>46119</v>
      </c>
      <c r="C239" s="9">
        <v>0.3527777777777778</v>
      </c>
      <c r="D239" s="8">
        <v>46120</v>
      </c>
      <c r="E239" s="9">
        <v>0.51041666666666663</v>
      </c>
      <c r="F239" s="8"/>
      <c r="G239" s="8"/>
      <c r="H239" s="10"/>
      <c r="I239" s="10" t="s">
        <v>26</v>
      </c>
      <c r="J239" s="10"/>
      <c r="K239" s="10" t="s">
        <v>306</v>
      </c>
      <c r="L239" s="10" t="s">
        <v>49</v>
      </c>
      <c r="M239" s="10" t="s">
        <v>89</v>
      </c>
      <c r="N239" s="10"/>
      <c r="O239" s="10"/>
      <c r="P239" s="10" t="s">
        <v>61</v>
      </c>
      <c r="Q239" s="10" t="s">
        <v>62</v>
      </c>
      <c r="R239" s="10"/>
      <c r="S239" s="10"/>
      <c r="T239" s="10"/>
      <c r="U239" s="11"/>
      <c r="V239" s="11"/>
    </row>
    <row r="240" spans="1:22">
      <c r="A240" s="7" t="s">
        <v>24</v>
      </c>
      <c r="B240" s="8">
        <v>46119</v>
      </c>
      <c r="C240" s="9">
        <v>0.72777777777777775</v>
      </c>
      <c r="D240" s="8">
        <v>46119</v>
      </c>
      <c r="E240" s="9">
        <v>0.75763888888888886</v>
      </c>
      <c r="F240" s="8"/>
      <c r="G240" s="8"/>
      <c r="H240" s="10"/>
      <c r="I240" s="10" t="s">
        <v>26</v>
      </c>
      <c r="J240" s="10"/>
      <c r="K240" s="10" t="s">
        <v>307</v>
      </c>
      <c r="L240" s="10" t="s">
        <v>49</v>
      </c>
      <c r="M240" s="10" t="s">
        <v>35</v>
      </c>
      <c r="N240" s="10"/>
      <c r="O240" s="10"/>
      <c r="P240" s="10" t="s">
        <v>61</v>
      </c>
      <c r="Q240" s="10" t="s">
        <v>62</v>
      </c>
      <c r="R240" s="10"/>
      <c r="S240" s="10"/>
      <c r="T240" s="10"/>
      <c r="U240" s="11"/>
      <c r="V240" s="11"/>
    </row>
    <row r="241" spans="1:22">
      <c r="A241" s="7" t="s">
        <v>24</v>
      </c>
      <c r="B241" s="8">
        <v>46119</v>
      </c>
      <c r="C241" s="9">
        <v>0.33541666666666664</v>
      </c>
      <c r="D241" s="8">
        <v>46089</v>
      </c>
      <c r="E241" s="9">
        <v>0.5180555555555556</v>
      </c>
      <c r="F241" s="8"/>
      <c r="G241" s="8"/>
      <c r="H241" s="10" t="s">
        <v>62</v>
      </c>
      <c r="I241" s="10" t="s">
        <v>80</v>
      </c>
      <c r="J241" s="10"/>
      <c r="K241" s="10" t="s">
        <v>308</v>
      </c>
      <c r="L241" s="10" t="s">
        <v>91</v>
      </c>
      <c r="M241" s="10" t="s">
        <v>35</v>
      </c>
      <c r="N241" s="10"/>
      <c r="O241" s="10"/>
      <c r="P241" s="10" t="s">
        <v>61</v>
      </c>
      <c r="Q241" s="10" t="s">
        <v>62</v>
      </c>
      <c r="R241" s="10" t="s">
        <v>92</v>
      </c>
      <c r="S241" s="10" t="s">
        <v>93</v>
      </c>
      <c r="T241" s="10"/>
      <c r="U241" s="11"/>
      <c r="V241" s="11"/>
    </row>
    <row r="242" spans="1:22">
      <c r="A242" s="7" t="s">
        <v>24</v>
      </c>
      <c r="B242" s="8">
        <v>46119</v>
      </c>
      <c r="C242" s="9">
        <v>0.39791666666666664</v>
      </c>
      <c r="D242" s="8">
        <v>46120</v>
      </c>
      <c r="E242" s="9">
        <v>0.50694444444444442</v>
      </c>
      <c r="F242" s="8"/>
      <c r="G242" s="8"/>
      <c r="H242" s="10"/>
      <c r="I242" s="10" t="s">
        <v>75</v>
      </c>
      <c r="J242" s="10"/>
      <c r="K242" s="10" t="s">
        <v>309</v>
      </c>
      <c r="L242" s="10" t="s">
        <v>75</v>
      </c>
      <c r="M242" s="10" t="s">
        <v>76</v>
      </c>
      <c r="N242" s="10"/>
      <c r="O242" s="10"/>
      <c r="P242" s="10" t="s">
        <v>61</v>
      </c>
      <c r="Q242" s="10" t="s">
        <v>62</v>
      </c>
      <c r="R242" s="10"/>
      <c r="S242" s="10"/>
      <c r="T242" s="10"/>
      <c r="U242" s="11"/>
      <c r="V242" s="11"/>
    </row>
    <row r="243" spans="1:22">
      <c r="A243" s="7" t="s">
        <v>24</v>
      </c>
      <c r="B243" s="8">
        <v>46119</v>
      </c>
      <c r="C243" s="9">
        <v>0.50277777777777777</v>
      </c>
      <c r="D243" s="8">
        <v>46120</v>
      </c>
      <c r="E243" s="9">
        <v>0.50624999999999998</v>
      </c>
      <c r="F243" s="8"/>
      <c r="G243" s="8"/>
      <c r="H243" s="10"/>
      <c r="I243" s="10" t="s">
        <v>75</v>
      </c>
      <c r="J243" s="10"/>
      <c r="K243" s="10" t="s">
        <v>310</v>
      </c>
      <c r="L243" s="10" t="s">
        <v>75</v>
      </c>
      <c r="M243" s="10" t="s">
        <v>76</v>
      </c>
      <c r="N243" s="10"/>
      <c r="O243" s="10"/>
      <c r="P243" s="10" t="s">
        <v>61</v>
      </c>
      <c r="Q243" s="10" t="s">
        <v>62</v>
      </c>
      <c r="R243" s="10"/>
      <c r="S243" s="10"/>
      <c r="T243" s="10"/>
      <c r="U243" s="11"/>
      <c r="V243" s="11"/>
    </row>
    <row r="244" spans="1:22">
      <c r="A244" s="7" t="s">
        <v>79</v>
      </c>
      <c r="B244" s="8">
        <v>46120</v>
      </c>
      <c r="C244" s="9">
        <v>0.4236111111111111</v>
      </c>
      <c r="D244" s="8">
        <v>46120</v>
      </c>
      <c r="E244" s="9">
        <v>0.4236111111111111</v>
      </c>
      <c r="F244" s="8"/>
      <c r="G244" s="8"/>
      <c r="H244" s="10" t="s">
        <v>311</v>
      </c>
      <c r="I244" s="10" t="s">
        <v>26</v>
      </c>
      <c r="J244" s="10" t="s">
        <v>311</v>
      </c>
      <c r="K244" s="10"/>
      <c r="L244" s="10" t="s">
        <v>27</v>
      </c>
      <c r="M244" s="10" t="s">
        <v>35</v>
      </c>
      <c r="N244" s="10"/>
      <c r="O244" s="10"/>
      <c r="P244" s="10" t="s">
        <v>61</v>
      </c>
      <c r="Q244" s="10" t="s">
        <v>62</v>
      </c>
      <c r="R244" s="10"/>
      <c r="S244" s="10"/>
      <c r="T244" s="13"/>
      <c r="U244" s="14"/>
      <c r="V244" s="11"/>
    </row>
    <row r="245" spans="1:22">
      <c r="A245" s="7" t="s">
        <v>24</v>
      </c>
      <c r="B245" s="8">
        <v>46120</v>
      </c>
      <c r="C245" s="9">
        <v>0.33333333333333331</v>
      </c>
      <c r="D245" s="8">
        <v>46120</v>
      </c>
      <c r="E245" s="9">
        <v>0.33333333333333331</v>
      </c>
      <c r="F245" s="8">
        <v>46120</v>
      </c>
      <c r="G245" s="8">
        <v>46120</v>
      </c>
      <c r="H245" s="10" t="s">
        <v>312</v>
      </c>
      <c r="I245" s="10" t="s">
        <v>26</v>
      </c>
      <c r="J245" s="10" t="s">
        <v>312</v>
      </c>
      <c r="K245" s="10"/>
      <c r="L245" s="10" t="s">
        <v>27</v>
      </c>
      <c r="M245" s="10" t="s">
        <v>35</v>
      </c>
      <c r="N245" s="10"/>
      <c r="O245" s="10"/>
      <c r="P245" s="10" t="s">
        <v>30</v>
      </c>
      <c r="Q245" s="10" t="s">
        <v>147</v>
      </c>
      <c r="R245" s="10" t="s">
        <v>126</v>
      </c>
      <c r="S245" s="10" t="s">
        <v>313</v>
      </c>
      <c r="T245" s="10"/>
      <c r="U245" s="11"/>
      <c r="V245" s="11"/>
    </row>
    <row r="246" spans="1:22">
      <c r="A246" s="7" t="s">
        <v>24</v>
      </c>
      <c r="B246" s="8">
        <v>46120</v>
      </c>
      <c r="C246" s="9">
        <v>0.61250000000000004</v>
      </c>
      <c r="D246" s="8">
        <v>46121</v>
      </c>
      <c r="E246" s="9">
        <v>0.47569444444444442</v>
      </c>
      <c r="F246" s="8"/>
      <c r="G246" s="8"/>
      <c r="H246" s="10"/>
      <c r="I246" s="10" t="s">
        <v>26</v>
      </c>
      <c r="J246" s="10"/>
      <c r="K246" s="10" t="s">
        <v>314</v>
      </c>
      <c r="L246" s="10" t="s">
        <v>49</v>
      </c>
      <c r="M246" s="10" t="s">
        <v>72</v>
      </c>
      <c r="N246" s="10"/>
      <c r="O246" s="10"/>
      <c r="P246" s="10" t="s">
        <v>61</v>
      </c>
      <c r="Q246" s="10" t="s">
        <v>62</v>
      </c>
      <c r="R246" s="10"/>
      <c r="S246" s="10"/>
      <c r="T246" s="10"/>
      <c r="U246" s="11"/>
      <c r="V246" s="11"/>
    </row>
    <row r="247" spans="1:22">
      <c r="A247" s="7" t="s">
        <v>24</v>
      </c>
      <c r="B247" s="8">
        <v>46120</v>
      </c>
      <c r="C247" s="9">
        <v>0.35972222222222222</v>
      </c>
      <c r="D247" s="8">
        <v>46120</v>
      </c>
      <c r="E247" s="9">
        <v>0.49861111111111112</v>
      </c>
      <c r="F247" s="8"/>
      <c r="G247" s="8"/>
      <c r="H247" s="10"/>
      <c r="I247" s="10" t="s">
        <v>26</v>
      </c>
      <c r="J247" s="10"/>
      <c r="K247" s="10" t="s">
        <v>315</v>
      </c>
      <c r="L247" s="10" t="s">
        <v>49</v>
      </c>
      <c r="M247" s="10" t="s">
        <v>89</v>
      </c>
      <c r="N247" s="10"/>
      <c r="O247" s="10"/>
      <c r="P247" s="10" t="s">
        <v>61</v>
      </c>
      <c r="Q247" s="10" t="s">
        <v>62</v>
      </c>
      <c r="R247" s="10"/>
      <c r="S247" s="10"/>
      <c r="T247" s="10"/>
      <c r="U247" s="11"/>
      <c r="V247" s="11"/>
    </row>
    <row r="248" spans="1:22">
      <c r="A248" s="7" t="s">
        <v>24</v>
      </c>
      <c r="B248" s="8">
        <v>46120</v>
      </c>
      <c r="C248" s="9">
        <v>0.61597222222222225</v>
      </c>
      <c r="D248" s="8">
        <v>46121</v>
      </c>
      <c r="E248" s="9">
        <v>0.47430555555555554</v>
      </c>
      <c r="F248" s="8"/>
      <c r="G248" s="8"/>
      <c r="H248" s="10"/>
      <c r="I248" s="10" t="s">
        <v>26</v>
      </c>
      <c r="J248" s="10"/>
      <c r="K248" s="10" t="s">
        <v>316</v>
      </c>
      <c r="L248" s="10" t="s">
        <v>49</v>
      </c>
      <c r="M248" s="10" t="s">
        <v>28</v>
      </c>
      <c r="N248" s="10"/>
      <c r="O248" s="10"/>
      <c r="P248" s="10" t="s">
        <v>61</v>
      </c>
      <c r="Q248" s="10" t="s">
        <v>62</v>
      </c>
      <c r="R248" s="10"/>
      <c r="S248" s="10"/>
      <c r="T248" s="10"/>
      <c r="U248" s="11"/>
      <c r="V248" s="11"/>
    </row>
    <row r="249" spans="1:22">
      <c r="A249" s="7" t="s">
        <v>24</v>
      </c>
      <c r="B249" s="8">
        <v>46120</v>
      </c>
      <c r="C249" s="9">
        <v>0.57291666666666663</v>
      </c>
      <c r="D249" s="8">
        <v>46122</v>
      </c>
      <c r="E249" s="9">
        <v>0.3972222222222222</v>
      </c>
      <c r="F249" s="8"/>
      <c r="G249" s="8"/>
      <c r="H249" s="10" t="s">
        <v>317</v>
      </c>
      <c r="I249" s="10" t="s">
        <v>75</v>
      </c>
      <c r="J249" s="10" t="s">
        <v>317</v>
      </c>
      <c r="K249" s="10"/>
      <c r="L249" s="10" t="s">
        <v>75</v>
      </c>
      <c r="M249" s="10" t="s">
        <v>76</v>
      </c>
      <c r="N249" s="10"/>
      <c r="O249" s="10"/>
      <c r="P249" s="10" t="s">
        <v>61</v>
      </c>
      <c r="Q249" s="10" t="s">
        <v>62</v>
      </c>
      <c r="R249" s="10"/>
      <c r="S249" s="10"/>
      <c r="T249" s="13"/>
      <c r="U249" s="14"/>
      <c r="V249" s="11"/>
    </row>
    <row r="250" spans="1:22">
      <c r="A250" s="7" t="s">
        <v>24</v>
      </c>
      <c r="B250" s="16">
        <v>46120</v>
      </c>
      <c r="C250" s="17">
        <v>5.486111111111111E-2</v>
      </c>
      <c r="D250" s="16">
        <v>46120</v>
      </c>
      <c r="E250" s="17">
        <v>0.50208333333333333</v>
      </c>
      <c r="F250" s="16"/>
      <c r="G250" s="16"/>
      <c r="H250" s="18"/>
      <c r="I250" s="10" t="s">
        <v>75</v>
      </c>
      <c r="J250" s="18"/>
      <c r="K250" s="18" t="s">
        <v>318</v>
      </c>
      <c r="L250" s="10" t="s">
        <v>75</v>
      </c>
      <c r="M250" s="10" t="s">
        <v>76</v>
      </c>
      <c r="N250" s="18"/>
      <c r="O250" s="18"/>
      <c r="P250" s="10" t="s">
        <v>61</v>
      </c>
      <c r="Q250" s="10" t="s">
        <v>62</v>
      </c>
      <c r="R250" s="18"/>
      <c r="S250" s="10"/>
      <c r="T250" s="10"/>
      <c r="U250" s="19"/>
      <c r="V250" s="19"/>
    </row>
    <row r="251" spans="1:22">
      <c r="A251" s="7" t="s">
        <v>24</v>
      </c>
      <c r="B251" s="16">
        <v>46120</v>
      </c>
      <c r="C251" s="17">
        <v>0.59166666666666667</v>
      </c>
      <c r="D251" s="16">
        <v>46121</v>
      </c>
      <c r="E251" s="17">
        <v>0.47708333333333336</v>
      </c>
      <c r="F251" s="16"/>
      <c r="G251" s="16"/>
      <c r="H251" s="18"/>
      <c r="I251" s="10" t="s">
        <v>75</v>
      </c>
      <c r="J251" s="18"/>
      <c r="K251" s="18" t="s">
        <v>319</v>
      </c>
      <c r="L251" s="10" t="s">
        <v>75</v>
      </c>
      <c r="M251" s="10" t="s">
        <v>76</v>
      </c>
      <c r="N251" s="18"/>
      <c r="O251" s="18"/>
      <c r="P251" s="10" t="s">
        <v>61</v>
      </c>
      <c r="Q251" s="10" t="s">
        <v>62</v>
      </c>
      <c r="R251" s="18"/>
      <c r="S251" s="10"/>
      <c r="T251" s="18"/>
      <c r="U251" s="19"/>
      <c r="V251" s="19"/>
    </row>
    <row r="252" spans="1:22">
      <c r="A252" s="7" t="s">
        <v>24</v>
      </c>
      <c r="B252" s="16">
        <v>46120</v>
      </c>
      <c r="C252" s="17">
        <v>0.41944444444444445</v>
      </c>
      <c r="D252" s="16">
        <v>46120</v>
      </c>
      <c r="E252" s="17">
        <v>0.44027777777777777</v>
      </c>
      <c r="F252" s="16"/>
      <c r="G252" s="16"/>
      <c r="H252" s="18" t="s">
        <v>62</v>
      </c>
      <c r="I252" s="10" t="s">
        <v>80</v>
      </c>
      <c r="J252" s="18"/>
      <c r="K252" s="18" t="s">
        <v>320</v>
      </c>
      <c r="L252" s="10" t="s">
        <v>81</v>
      </c>
      <c r="M252" s="10" t="s">
        <v>82</v>
      </c>
      <c r="N252" s="18"/>
      <c r="O252" s="18"/>
      <c r="P252" s="10" t="s">
        <v>61</v>
      </c>
      <c r="Q252" s="10" t="s">
        <v>62</v>
      </c>
      <c r="R252" s="10"/>
      <c r="S252" s="10" t="s">
        <v>83</v>
      </c>
      <c r="T252" s="18"/>
      <c r="U252" s="19"/>
      <c r="V252" s="19"/>
    </row>
    <row r="253" spans="1:22">
      <c r="A253" s="7" t="s">
        <v>173</v>
      </c>
      <c r="B253" s="16">
        <v>46120</v>
      </c>
      <c r="C253" s="17">
        <v>0.41041666666666665</v>
      </c>
      <c r="D253" s="16">
        <v>46120</v>
      </c>
      <c r="E253" s="17">
        <v>0.43958333333333333</v>
      </c>
      <c r="F253" s="16"/>
      <c r="G253" s="16"/>
      <c r="H253" s="18" t="s">
        <v>321</v>
      </c>
      <c r="I253" s="10" t="s">
        <v>26</v>
      </c>
      <c r="J253" s="18" t="s">
        <v>321</v>
      </c>
      <c r="K253" s="18">
        <v>3177685942</v>
      </c>
      <c r="L253" s="18" t="s">
        <v>27</v>
      </c>
      <c r="M253" s="18" t="s">
        <v>89</v>
      </c>
      <c r="N253" s="18"/>
      <c r="O253" s="18"/>
      <c r="P253" s="18" t="s">
        <v>61</v>
      </c>
      <c r="Q253" s="10" t="s">
        <v>62</v>
      </c>
      <c r="R253" s="10" t="s">
        <v>126</v>
      </c>
      <c r="S253" s="10"/>
      <c r="T253" s="18"/>
      <c r="U253" s="19"/>
      <c r="V253" s="19"/>
    </row>
    <row r="254" spans="1:22">
      <c r="A254" s="7" t="s">
        <v>24</v>
      </c>
      <c r="B254" s="16">
        <v>46121</v>
      </c>
      <c r="C254" s="17">
        <v>0.50208333333333333</v>
      </c>
      <c r="D254" s="16">
        <v>46121</v>
      </c>
      <c r="E254" s="17">
        <v>0.53680555555555554</v>
      </c>
      <c r="F254" s="16"/>
      <c r="G254" s="16"/>
      <c r="H254" s="18" t="s">
        <v>322</v>
      </c>
      <c r="I254" s="10" t="s">
        <v>26</v>
      </c>
      <c r="J254" s="18" t="s">
        <v>322</v>
      </c>
      <c r="K254" s="18"/>
      <c r="L254" s="18" t="s">
        <v>27</v>
      </c>
      <c r="M254" s="18" t="s">
        <v>35</v>
      </c>
      <c r="N254" s="18"/>
      <c r="O254" s="18"/>
      <c r="P254" s="18" t="s">
        <v>61</v>
      </c>
      <c r="Q254" s="10" t="s">
        <v>62</v>
      </c>
      <c r="R254" s="18"/>
      <c r="S254" s="10"/>
      <c r="T254" s="18"/>
      <c r="U254" s="19"/>
      <c r="V254" s="19"/>
    </row>
    <row r="255" spans="1:22">
      <c r="A255" s="7" t="s">
        <v>24</v>
      </c>
      <c r="B255" s="16">
        <v>46121</v>
      </c>
      <c r="C255" s="17">
        <v>0.31180555555555556</v>
      </c>
      <c r="D255" s="16">
        <v>46121</v>
      </c>
      <c r="E255" s="17">
        <v>0.45416666666666666</v>
      </c>
      <c r="F255" s="16"/>
      <c r="G255" s="16"/>
      <c r="H255" s="18"/>
      <c r="I255" s="10" t="s">
        <v>26</v>
      </c>
      <c r="J255" s="18"/>
      <c r="K255" s="18" t="s">
        <v>323</v>
      </c>
      <c r="L255" s="18" t="s">
        <v>49</v>
      </c>
      <c r="M255" s="18" t="s">
        <v>72</v>
      </c>
      <c r="N255" s="18"/>
      <c r="O255" s="18"/>
      <c r="P255" s="18" t="s">
        <v>61</v>
      </c>
      <c r="Q255" s="10" t="s">
        <v>62</v>
      </c>
      <c r="R255" s="18"/>
      <c r="S255" s="10"/>
      <c r="T255" s="18"/>
      <c r="U255" s="19"/>
      <c r="V255" s="19"/>
    </row>
    <row r="256" spans="1:22">
      <c r="A256" s="7" t="s">
        <v>24</v>
      </c>
      <c r="B256" s="16">
        <v>46121</v>
      </c>
      <c r="C256" s="17">
        <v>0.44444444444444442</v>
      </c>
      <c r="D256" s="16">
        <v>46121</v>
      </c>
      <c r="E256" s="17">
        <v>0.48611111111111099</v>
      </c>
      <c r="F256" s="16"/>
      <c r="G256" s="16"/>
      <c r="H256" s="18" t="s">
        <v>324</v>
      </c>
      <c r="I256" s="10" t="s">
        <v>75</v>
      </c>
      <c r="J256" s="18" t="s">
        <v>324</v>
      </c>
      <c r="K256" s="18"/>
      <c r="L256" s="18" t="s">
        <v>75</v>
      </c>
      <c r="M256" s="18" t="s">
        <v>76</v>
      </c>
      <c r="N256" s="18"/>
      <c r="O256" s="18"/>
      <c r="P256" s="18" t="s">
        <v>61</v>
      </c>
      <c r="Q256" s="10" t="s">
        <v>62</v>
      </c>
      <c r="R256" s="18"/>
      <c r="S256" s="10"/>
      <c r="T256" s="18"/>
      <c r="U256" s="19"/>
      <c r="V256" s="19"/>
    </row>
    <row r="257" spans="1:24">
      <c r="A257" s="7" t="s">
        <v>24</v>
      </c>
      <c r="B257" s="16">
        <v>46121</v>
      </c>
      <c r="C257" s="17">
        <v>0.43194444444444446</v>
      </c>
      <c r="D257" s="16">
        <v>46121</v>
      </c>
      <c r="E257" s="17">
        <v>0.44444444444444442</v>
      </c>
      <c r="F257" s="16"/>
      <c r="G257" s="16"/>
      <c r="H257" s="18" t="s">
        <v>325</v>
      </c>
      <c r="I257" s="10" t="s">
        <v>75</v>
      </c>
      <c r="J257" s="18" t="s">
        <v>325</v>
      </c>
      <c r="K257" s="18"/>
      <c r="L257" s="18" t="s">
        <v>75</v>
      </c>
      <c r="M257" s="18" t="s">
        <v>76</v>
      </c>
      <c r="N257" s="18"/>
      <c r="O257" s="18"/>
      <c r="P257" s="18" t="s">
        <v>61</v>
      </c>
      <c r="Q257" s="10" t="s">
        <v>62</v>
      </c>
      <c r="R257" s="18"/>
      <c r="S257" s="10"/>
      <c r="T257" s="21"/>
      <c r="U257" s="22"/>
      <c r="V257" s="19"/>
    </row>
    <row r="258" spans="1:24">
      <c r="A258" s="7" t="s">
        <v>24</v>
      </c>
      <c r="B258" s="16">
        <v>46121</v>
      </c>
      <c r="C258" s="17">
        <v>0.64513888888888893</v>
      </c>
      <c r="D258" s="16">
        <v>46121</v>
      </c>
      <c r="E258" s="17">
        <v>0.70138888888888884</v>
      </c>
      <c r="F258" s="16"/>
      <c r="G258" s="16"/>
      <c r="H258" s="18"/>
      <c r="I258" s="10" t="s">
        <v>75</v>
      </c>
      <c r="J258" s="18"/>
      <c r="K258" s="18" t="s">
        <v>326</v>
      </c>
      <c r="L258" s="18" t="s">
        <v>75</v>
      </c>
      <c r="M258" s="18" t="s">
        <v>76</v>
      </c>
      <c r="N258" s="18"/>
      <c r="O258" s="18"/>
      <c r="P258" s="18" t="s">
        <v>61</v>
      </c>
      <c r="Q258" s="10" t="s">
        <v>62</v>
      </c>
      <c r="R258" s="18"/>
      <c r="S258" s="10"/>
      <c r="T258" s="10"/>
      <c r="U258" s="19"/>
      <c r="V258" s="19"/>
    </row>
    <row r="259" spans="1:24">
      <c r="A259" s="7" t="s">
        <v>24</v>
      </c>
      <c r="B259" s="16">
        <v>46121</v>
      </c>
      <c r="C259" s="17">
        <v>0.7270833333333333</v>
      </c>
      <c r="D259" s="16">
        <v>46122</v>
      </c>
      <c r="E259" s="17">
        <v>0.3923611111111111</v>
      </c>
      <c r="F259" s="16"/>
      <c r="G259" s="16"/>
      <c r="H259" s="18"/>
      <c r="I259" s="10" t="s">
        <v>75</v>
      </c>
      <c r="J259" s="18"/>
      <c r="K259" s="18" t="s">
        <v>327</v>
      </c>
      <c r="L259" s="18" t="s">
        <v>75</v>
      </c>
      <c r="M259" s="18" t="s">
        <v>76</v>
      </c>
      <c r="N259" s="18"/>
      <c r="O259" s="18"/>
      <c r="P259" s="18" t="s">
        <v>61</v>
      </c>
      <c r="Q259" s="18" t="s">
        <v>62</v>
      </c>
      <c r="R259" s="18"/>
      <c r="S259" s="18"/>
      <c r="T259" s="18"/>
      <c r="U259" s="19"/>
      <c r="V259" s="19"/>
    </row>
    <row r="260" spans="1:24">
      <c r="A260" s="7" t="s">
        <v>24</v>
      </c>
      <c r="B260" s="16">
        <v>46121</v>
      </c>
      <c r="C260" s="17">
        <v>0.33263888888888887</v>
      </c>
      <c r="D260" s="16">
        <v>46121</v>
      </c>
      <c r="E260" s="17">
        <v>0.33333333333333331</v>
      </c>
      <c r="F260" s="16"/>
      <c r="G260" s="16"/>
      <c r="H260" s="18"/>
      <c r="I260" s="10" t="s">
        <v>75</v>
      </c>
      <c r="J260" s="18"/>
      <c r="K260" s="18" t="s">
        <v>328</v>
      </c>
      <c r="L260" s="18" t="s">
        <v>75</v>
      </c>
      <c r="M260" s="18" t="s">
        <v>76</v>
      </c>
      <c r="N260" s="18"/>
      <c r="O260" s="18"/>
      <c r="P260" s="18" t="s">
        <v>61</v>
      </c>
      <c r="Q260" s="18" t="s">
        <v>62</v>
      </c>
      <c r="R260" s="18"/>
      <c r="S260" s="18"/>
      <c r="T260" s="18"/>
      <c r="U260" s="19"/>
      <c r="V260" s="19"/>
    </row>
    <row r="261" spans="1:24">
      <c r="A261" s="7" t="s">
        <v>24</v>
      </c>
      <c r="B261" s="16">
        <v>46122</v>
      </c>
      <c r="C261" s="17">
        <v>0.33333333333333331</v>
      </c>
      <c r="D261" s="16">
        <v>46125</v>
      </c>
      <c r="E261" s="17">
        <v>0.33333333333333331</v>
      </c>
      <c r="F261" s="16">
        <v>46122</v>
      </c>
      <c r="G261" s="16">
        <v>46125</v>
      </c>
      <c r="H261" s="18" t="s">
        <v>329</v>
      </c>
      <c r="I261" s="10" t="s">
        <v>26</v>
      </c>
      <c r="J261" s="18" t="s">
        <v>329</v>
      </c>
      <c r="K261" s="18"/>
      <c r="L261" s="18" t="s">
        <v>27</v>
      </c>
      <c r="M261" s="18" t="s">
        <v>35</v>
      </c>
      <c r="N261" s="18"/>
      <c r="O261" s="18"/>
      <c r="P261" s="18" t="s">
        <v>30</v>
      </c>
      <c r="Q261" s="18" t="s">
        <v>87</v>
      </c>
      <c r="R261" s="18" t="s">
        <v>126</v>
      </c>
      <c r="S261" s="18" t="s">
        <v>50</v>
      </c>
      <c r="T261" s="21">
        <v>16500000</v>
      </c>
      <c r="U261" s="19" t="s">
        <v>330</v>
      </c>
      <c r="V261" s="19"/>
    </row>
    <row r="262" spans="1:24">
      <c r="A262" s="7" t="s">
        <v>37</v>
      </c>
      <c r="B262" s="16">
        <v>46122</v>
      </c>
      <c r="C262" s="17">
        <v>0.5</v>
      </c>
      <c r="D262" s="16">
        <v>46122</v>
      </c>
      <c r="E262" s="17">
        <v>0.5</v>
      </c>
      <c r="F262" s="16">
        <v>46122</v>
      </c>
      <c r="G262" s="16">
        <v>46132</v>
      </c>
      <c r="H262" s="18" t="s">
        <v>331</v>
      </c>
      <c r="I262" s="10" t="s">
        <v>165</v>
      </c>
      <c r="J262" s="18" t="s">
        <v>332</v>
      </c>
      <c r="K262" s="18" t="s">
        <v>333</v>
      </c>
      <c r="L262" s="18" t="s">
        <v>27</v>
      </c>
      <c r="M262" s="18" t="s">
        <v>89</v>
      </c>
      <c r="N262" s="18" t="s">
        <v>86</v>
      </c>
      <c r="O262" s="18" t="s">
        <v>86</v>
      </c>
      <c r="P262" s="18" t="s">
        <v>30</v>
      </c>
      <c r="Q262" s="10" t="s">
        <v>113</v>
      </c>
      <c r="R262" s="18" t="s">
        <v>179</v>
      </c>
      <c r="S262" s="18" t="s">
        <v>268</v>
      </c>
      <c r="T262" s="21">
        <v>1000000</v>
      </c>
      <c r="U262" s="19" t="s">
        <v>114</v>
      </c>
      <c r="V262" s="19"/>
      <c r="W262" s="12" t="s">
        <v>167</v>
      </c>
      <c r="X262" s="12" t="s">
        <v>248</v>
      </c>
    </row>
    <row r="263" spans="1:24">
      <c r="A263" s="7" t="s">
        <v>24</v>
      </c>
      <c r="B263" s="16">
        <v>46122</v>
      </c>
      <c r="C263" s="17">
        <v>0.28611111111111109</v>
      </c>
      <c r="D263" s="16">
        <v>46122</v>
      </c>
      <c r="E263" s="17">
        <v>0.35902777777777778</v>
      </c>
      <c r="F263" s="16"/>
      <c r="G263" s="16"/>
      <c r="H263" s="18"/>
      <c r="I263" s="10" t="s">
        <v>26</v>
      </c>
      <c r="J263" s="18"/>
      <c r="K263" s="18" t="s">
        <v>334</v>
      </c>
      <c r="L263" s="18" t="s">
        <v>49</v>
      </c>
      <c r="M263" s="18" t="s">
        <v>72</v>
      </c>
      <c r="N263" s="18"/>
      <c r="O263" s="18"/>
      <c r="P263" s="18" t="s">
        <v>61</v>
      </c>
      <c r="Q263" s="18" t="s">
        <v>62</v>
      </c>
      <c r="R263" s="18"/>
      <c r="S263" s="18"/>
      <c r="T263" s="18"/>
      <c r="U263" s="19"/>
      <c r="V263" s="19"/>
    </row>
    <row r="264" spans="1:24">
      <c r="A264" s="7" t="s">
        <v>24</v>
      </c>
      <c r="B264" s="16">
        <v>46122</v>
      </c>
      <c r="C264" s="17">
        <v>0.35902777777777778</v>
      </c>
      <c r="D264" s="16">
        <v>46122</v>
      </c>
      <c r="E264" s="17">
        <v>0.35902777777777778</v>
      </c>
      <c r="F264" s="16"/>
      <c r="G264" s="16"/>
      <c r="H264" s="18" t="s">
        <v>62</v>
      </c>
      <c r="I264" s="10" t="s">
        <v>80</v>
      </c>
      <c r="J264" s="18"/>
      <c r="K264" s="18" t="s">
        <v>335</v>
      </c>
      <c r="L264" s="18" t="s">
        <v>81</v>
      </c>
      <c r="M264" s="18" t="s">
        <v>82</v>
      </c>
      <c r="N264" s="18"/>
      <c r="O264" s="18"/>
      <c r="P264" s="18" t="s">
        <v>61</v>
      </c>
      <c r="Q264" s="10" t="s">
        <v>62</v>
      </c>
      <c r="R264" s="18"/>
      <c r="S264" s="18" t="s">
        <v>83</v>
      </c>
      <c r="T264" s="18"/>
      <c r="U264" s="19"/>
      <c r="V264" s="19"/>
    </row>
    <row r="265" spans="1:24">
      <c r="A265" s="7" t="s">
        <v>24</v>
      </c>
      <c r="B265" s="16">
        <v>46122</v>
      </c>
      <c r="C265" s="17">
        <v>0.625</v>
      </c>
      <c r="D265" s="16">
        <v>46128</v>
      </c>
      <c r="E265" s="17">
        <v>0.62638888888888888</v>
      </c>
      <c r="F265" s="16"/>
      <c r="G265" s="16"/>
      <c r="H265" s="18" t="s">
        <v>62</v>
      </c>
      <c r="I265" s="10" t="s">
        <v>80</v>
      </c>
      <c r="J265" s="18"/>
      <c r="K265" s="18" t="s">
        <v>336</v>
      </c>
      <c r="L265" s="18" t="s">
        <v>81</v>
      </c>
      <c r="M265" s="18"/>
      <c r="N265" s="18"/>
      <c r="O265" s="18"/>
      <c r="P265" s="18" t="s">
        <v>61</v>
      </c>
      <c r="Q265" s="18" t="s">
        <v>62</v>
      </c>
      <c r="R265" s="18" t="s">
        <v>126</v>
      </c>
      <c r="S265" s="18"/>
      <c r="T265" s="18"/>
      <c r="U265" s="19"/>
      <c r="V265" s="19"/>
    </row>
    <row r="266" spans="1:24">
      <c r="A266" s="15" t="s">
        <v>24</v>
      </c>
      <c r="B266" s="16">
        <v>46123</v>
      </c>
      <c r="C266" s="17">
        <v>0.41319444444444442</v>
      </c>
      <c r="D266" s="16">
        <v>46123</v>
      </c>
      <c r="E266" s="17">
        <v>0.41319444444444442</v>
      </c>
      <c r="F266" s="16">
        <v>46123</v>
      </c>
      <c r="G266" s="16">
        <v>46127</v>
      </c>
      <c r="H266" s="18" t="s">
        <v>337</v>
      </c>
      <c r="I266" s="10" t="s">
        <v>26</v>
      </c>
      <c r="J266" s="18" t="s">
        <v>338</v>
      </c>
      <c r="K266" s="18">
        <v>3107877029</v>
      </c>
      <c r="L266" s="18" t="s">
        <v>27</v>
      </c>
      <c r="M266" s="18" t="s">
        <v>35</v>
      </c>
      <c r="N266" s="18" t="s">
        <v>86</v>
      </c>
      <c r="O266" s="18" t="s">
        <v>339</v>
      </c>
      <c r="P266" s="18" t="s">
        <v>30</v>
      </c>
      <c r="Q266" s="18" t="s">
        <v>147</v>
      </c>
      <c r="R266" s="18" t="s">
        <v>179</v>
      </c>
      <c r="S266" s="18" t="s">
        <v>313</v>
      </c>
      <c r="T266" s="21">
        <v>228000000</v>
      </c>
      <c r="U266" s="22" t="s">
        <v>340</v>
      </c>
      <c r="V266" s="19"/>
    </row>
    <row r="267" spans="1:24">
      <c r="A267" s="15" t="s">
        <v>24</v>
      </c>
      <c r="B267" s="16">
        <v>46123</v>
      </c>
      <c r="C267" s="17">
        <v>0.49861111111111112</v>
      </c>
      <c r="D267" s="16">
        <v>46123</v>
      </c>
      <c r="E267" s="17">
        <v>0.49861111111111112</v>
      </c>
      <c r="F267" s="16"/>
      <c r="G267" s="16"/>
      <c r="H267" s="18" t="s">
        <v>341</v>
      </c>
      <c r="I267" s="10" t="s">
        <v>26</v>
      </c>
      <c r="J267" s="18" t="s">
        <v>341</v>
      </c>
      <c r="K267" s="18"/>
      <c r="L267" s="18" t="s">
        <v>49</v>
      </c>
      <c r="M267" s="18" t="s">
        <v>35</v>
      </c>
      <c r="N267" s="18" t="s">
        <v>29</v>
      </c>
      <c r="O267" s="18" t="s">
        <v>342</v>
      </c>
      <c r="P267" s="18" t="s">
        <v>61</v>
      </c>
      <c r="Q267" s="18" t="s">
        <v>62</v>
      </c>
      <c r="R267" s="18"/>
      <c r="S267" s="18"/>
      <c r="T267" s="21"/>
      <c r="U267" s="22"/>
      <c r="V267" s="19"/>
    </row>
    <row r="268" spans="1:24">
      <c r="A268" s="15" t="s">
        <v>24</v>
      </c>
      <c r="B268" s="16">
        <v>46124</v>
      </c>
      <c r="C268" s="17">
        <v>0.38541666666666669</v>
      </c>
      <c r="D268" s="16">
        <v>46124</v>
      </c>
      <c r="E268" s="17">
        <v>0.38541666666666669</v>
      </c>
      <c r="F268" s="16"/>
      <c r="G268" s="16"/>
      <c r="H268" s="18" t="s">
        <v>343</v>
      </c>
      <c r="I268" s="10" t="s">
        <v>26</v>
      </c>
      <c r="J268" s="18" t="s">
        <v>343</v>
      </c>
      <c r="K268" s="18"/>
      <c r="L268" s="18" t="s">
        <v>49</v>
      </c>
      <c r="M268" s="18" t="s">
        <v>35</v>
      </c>
      <c r="N268" s="18" t="s">
        <v>344</v>
      </c>
      <c r="O268" s="18" t="s">
        <v>345</v>
      </c>
      <c r="P268" s="18" t="s">
        <v>61</v>
      </c>
      <c r="Q268" s="18" t="s">
        <v>62</v>
      </c>
      <c r="R268" s="18"/>
      <c r="S268" s="18"/>
      <c r="T268" s="18"/>
      <c r="U268" s="19"/>
      <c r="V268" s="11"/>
    </row>
    <row r="269" spans="1:24">
      <c r="A269" s="15" t="s">
        <v>24</v>
      </c>
      <c r="B269" s="16">
        <v>46124</v>
      </c>
      <c r="C269" s="17">
        <v>0.38819444444444445</v>
      </c>
      <c r="D269" s="16">
        <v>46124</v>
      </c>
      <c r="E269" s="17">
        <v>0.38819444444444445</v>
      </c>
      <c r="F269" s="16"/>
      <c r="G269" s="16"/>
      <c r="H269" s="18" t="s">
        <v>62</v>
      </c>
      <c r="I269" s="10" t="s">
        <v>80</v>
      </c>
      <c r="J269" s="18" t="s">
        <v>346</v>
      </c>
      <c r="K269" s="18">
        <v>3228754580</v>
      </c>
      <c r="L269" s="18" t="s">
        <v>91</v>
      </c>
      <c r="M269" s="18" t="s">
        <v>35</v>
      </c>
      <c r="N269" s="18"/>
      <c r="O269" s="18"/>
      <c r="P269" s="18" t="s">
        <v>61</v>
      </c>
      <c r="Q269" s="18" t="s">
        <v>62</v>
      </c>
      <c r="R269" s="18" t="s">
        <v>92</v>
      </c>
      <c r="S269" s="18" t="s">
        <v>93</v>
      </c>
      <c r="T269" s="13"/>
      <c r="U269" s="22"/>
      <c r="V269" s="11"/>
    </row>
    <row r="270" spans="1:24">
      <c r="A270" s="15" t="s">
        <v>24</v>
      </c>
      <c r="B270" s="16">
        <v>46124</v>
      </c>
      <c r="C270" s="17">
        <v>0.38819444444444445</v>
      </c>
      <c r="D270" s="16">
        <v>46124</v>
      </c>
      <c r="E270" s="17">
        <v>0.38819444444444445</v>
      </c>
      <c r="F270" s="16"/>
      <c r="G270" s="16"/>
      <c r="H270" s="18" t="s">
        <v>62</v>
      </c>
      <c r="I270" s="10" t="s">
        <v>80</v>
      </c>
      <c r="J270" s="18"/>
      <c r="K270" s="18">
        <v>3228754580</v>
      </c>
      <c r="L270" s="18" t="s">
        <v>91</v>
      </c>
      <c r="M270" s="18" t="s">
        <v>35</v>
      </c>
      <c r="N270" s="18"/>
      <c r="O270" s="18"/>
      <c r="P270" s="18" t="s">
        <v>61</v>
      </c>
      <c r="Q270" s="10" t="s">
        <v>62</v>
      </c>
      <c r="R270" s="18" t="s">
        <v>92</v>
      </c>
      <c r="S270" s="18" t="s">
        <v>93</v>
      </c>
      <c r="T270" s="18"/>
      <c r="U270" s="19"/>
      <c r="V270" s="19"/>
    </row>
    <row r="271" spans="1:24">
      <c r="A271" s="15" t="s">
        <v>24</v>
      </c>
      <c r="B271" s="16">
        <v>46125</v>
      </c>
      <c r="C271" s="17">
        <v>0.59236111111111112</v>
      </c>
      <c r="D271" s="16">
        <v>46125</v>
      </c>
      <c r="E271" s="17">
        <v>0.59236111111111112</v>
      </c>
      <c r="F271" s="16"/>
      <c r="G271" s="16"/>
      <c r="H271" s="18" t="s">
        <v>347</v>
      </c>
      <c r="I271" s="10" t="s">
        <v>26</v>
      </c>
      <c r="J271" s="18" t="s">
        <v>347</v>
      </c>
      <c r="K271" s="18">
        <v>3228093077</v>
      </c>
      <c r="L271" s="18" t="s">
        <v>27</v>
      </c>
      <c r="M271" s="18" t="s">
        <v>65</v>
      </c>
      <c r="N271" s="18" t="s">
        <v>29</v>
      </c>
      <c r="O271" s="18" t="s">
        <v>29</v>
      </c>
      <c r="P271" s="18" t="s">
        <v>61</v>
      </c>
      <c r="Q271" s="18" t="s">
        <v>62</v>
      </c>
      <c r="R271" s="18"/>
      <c r="S271" s="18"/>
      <c r="T271" s="21"/>
      <c r="U271" s="22"/>
      <c r="V271" s="11"/>
    </row>
    <row r="272" spans="1:24">
      <c r="A272" s="15" t="s">
        <v>24</v>
      </c>
      <c r="B272" s="16">
        <v>46125</v>
      </c>
      <c r="C272" s="17">
        <v>0.34027777777777779</v>
      </c>
      <c r="D272" s="16">
        <v>46125</v>
      </c>
      <c r="E272" s="17">
        <v>0.34097222222222223</v>
      </c>
      <c r="F272" s="16"/>
      <c r="G272" s="16"/>
      <c r="H272" s="18" t="s">
        <v>348</v>
      </c>
      <c r="I272" s="10" t="s">
        <v>26</v>
      </c>
      <c r="J272" s="18" t="s">
        <v>349</v>
      </c>
      <c r="K272" s="18"/>
      <c r="L272" s="18" t="s">
        <v>49</v>
      </c>
      <c r="M272" s="18" t="s">
        <v>35</v>
      </c>
      <c r="N272" s="18" t="s">
        <v>350</v>
      </c>
      <c r="O272" s="18" t="s">
        <v>351</v>
      </c>
      <c r="P272" s="18" t="s">
        <v>61</v>
      </c>
      <c r="Q272" s="18" t="s">
        <v>62</v>
      </c>
      <c r="R272" s="18"/>
      <c r="S272" s="18"/>
      <c r="T272" s="21"/>
      <c r="U272" s="22"/>
      <c r="V272" s="19"/>
    </row>
    <row r="273" spans="1:22">
      <c r="A273" s="15" t="s">
        <v>24</v>
      </c>
      <c r="B273" s="16">
        <v>46125</v>
      </c>
      <c r="C273" s="17">
        <v>0.61805555555555558</v>
      </c>
      <c r="D273" s="16">
        <v>46125</v>
      </c>
      <c r="E273" s="17">
        <v>0.61805555555555558</v>
      </c>
      <c r="F273" s="16"/>
      <c r="G273" s="16"/>
      <c r="H273" s="18" t="s">
        <v>352</v>
      </c>
      <c r="I273" s="10" t="s">
        <v>26</v>
      </c>
      <c r="J273" s="18" t="s">
        <v>353</v>
      </c>
      <c r="K273" s="18">
        <v>3006842650</v>
      </c>
      <c r="L273" s="18" t="s">
        <v>49</v>
      </c>
      <c r="M273" s="18" t="s">
        <v>72</v>
      </c>
      <c r="N273" s="18" t="s">
        <v>60</v>
      </c>
      <c r="O273" s="18" t="s">
        <v>354</v>
      </c>
      <c r="P273" s="18" t="s">
        <v>61</v>
      </c>
      <c r="Q273" s="18" t="s">
        <v>62</v>
      </c>
      <c r="R273" s="18"/>
      <c r="S273" s="18"/>
      <c r="T273" s="21"/>
      <c r="U273" s="22"/>
      <c r="V273" s="19"/>
    </row>
    <row r="274" spans="1:22">
      <c r="A274" s="15" t="s">
        <v>24</v>
      </c>
      <c r="B274" s="16">
        <v>46125</v>
      </c>
      <c r="C274" s="17">
        <v>0.42222222222222222</v>
      </c>
      <c r="D274" s="16">
        <v>46125</v>
      </c>
      <c r="E274" s="17">
        <v>0.42222222222222222</v>
      </c>
      <c r="F274" s="16"/>
      <c r="G274" s="16"/>
      <c r="H274" s="18" t="s">
        <v>355</v>
      </c>
      <c r="I274" s="10" t="s">
        <v>26</v>
      </c>
      <c r="J274" s="18" t="s">
        <v>355</v>
      </c>
      <c r="K274" s="18">
        <v>3142668718</v>
      </c>
      <c r="L274" s="18" t="s">
        <v>49</v>
      </c>
      <c r="M274" s="18" t="s">
        <v>72</v>
      </c>
      <c r="N274" s="18"/>
      <c r="O274" s="18"/>
      <c r="P274" s="18" t="s">
        <v>61</v>
      </c>
      <c r="Q274" s="18" t="s">
        <v>62</v>
      </c>
      <c r="R274" s="18"/>
      <c r="S274" s="18"/>
      <c r="T274" s="21"/>
      <c r="U274" s="22"/>
      <c r="V274" s="19"/>
    </row>
    <row r="275" spans="1:22">
      <c r="A275" s="15" t="s">
        <v>24</v>
      </c>
      <c r="B275" s="16">
        <v>46125</v>
      </c>
      <c r="C275" s="17">
        <v>0.6118055555555556</v>
      </c>
      <c r="D275" s="16">
        <v>46125</v>
      </c>
      <c r="E275" s="17">
        <v>0.6118055555555556</v>
      </c>
      <c r="F275" s="16"/>
      <c r="G275" s="16"/>
      <c r="H275" s="18" t="s">
        <v>356</v>
      </c>
      <c r="I275" s="10" t="s">
        <v>26</v>
      </c>
      <c r="J275" s="18" t="s">
        <v>356</v>
      </c>
      <c r="K275" s="18">
        <v>3128257679</v>
      </c>
      <c r="L275" s="18" t="s">
        <v>49</v>
      </c>
      <c r="M275" s="18" t="s">
        <v>35</v>
      </c>
      <c r="N275" s="18" t="s">
        <v>357</v>
      </c>
      <c r="O275" s="18" t="s">
        <v>358</v>
      </c>
      <c r="P275" s="18" t="s">
        <v>61</v>
      </c>
      <c r="Q275" s="18" t="s">
        <v>62</v>
      </c>
      <c r="R275" s="18"/>
      <c r="S275" s="18"/>
      <c r="T275" s="21"/>
      <c r="U275" s="22"/>
      <c r="V275" s="19"/>
    </row>
    <row r="276" spans="1:22">
      <c r="A276" s="15" t="s">
        <v>24</v>
      </c>
      <c r="B276" s="16">
        <v>46125</v>
      </c>
      <c r="C276" s="17">
        <v>0.43888888888888888</v>
      </c>
      <c r="D276" s="16">
        <v>46125</v>
      </c>
      <c r="E276" s="17">
        <v>0.4513888888888889</v>
      </c>
      <c r="F276" s="16">
        <v>46125</v>
      </c>
      <c r="G276" s="16">
        <v>46125</v>
      </c>
      <c r="H276" s="18" t="s">
        <v>359</v>
      </c>
      <c r="I276" s="10" t="s">
        <v>26</v>
      </c>
      <c r="J276" s="18" t="s">
        <v>360</v>
      </c>
      <c r="K276" s="18">
        <v>3117444245</v>
      </c>
      <c r="L276" s="18" t="s">
        <v>49</v>
      </c>
      <c r="M276" s="18" t="s">
        <v>35</v>
      </c>
      <c r="N276" s="18" t="s">
        <v>361</v>
      </c>
      <c r="O276" s="18" t="s">
        <v>86</v>
      </c>
      <c r="P276" s="18" t="s">
        <v>30</v>
      </c>
      <c r="Q276" s="18" t="s">
        <v>87</v>
      </c>
      <c r="R276" s="18" t="s">
        <v>362</v>
      </c>
      <c r="S276" s="18" t="s">
        <v>50</v>
      </c>
      <c r="T276" s="13">
        <v>6340000</v>
      </c>
      <c r="U276" s="22" t="s">
        <v>114</v>
      </c>
      <c r="V276" s="19"/>
    </row>
    <row r="277" spans="1:22">
      <c r="A277" s="15" t="s">
        <v>24</v>
      </c>
      <c r="B277" s="16">
        <v>46125</v>
      </c>
      <c r="C277" s="17">
        <v>0.59513888888888888</v>
      </c>
      <c r="D277" s="16">
        <v>46125</v>
      </c>
      <c r="E277" s="17">
        <v>0.59513888888888888</v>
      </c>
      <c r="F277" s="16"/>
      <c r="G277" s="16"/>
      <c r="H277" s="18" t="s">
        <v>62</v>
      </c>
      <c r="I277" s="10" t="s">
        <v>80</v>
      </c>
      <c r="J277" s="18" t="s">
        <v>363</v>
      </c>
      <c r="K277" s="18">
        <v>3133606229</v>
      </c>
      <c r="L277" s="18" t="s">
        <v>91</v>
      </c>
      <c r="M277" s="18" t="s">
        <v>35</v>
      </c>
      <c r="N277" s="18"/>
      <c r="O277" s="18"/>
      <c r="P277" s="18" t="s">
        <v>61</v>
      </c>
      <c r="Q277" s="18" t="s">
        <v>62</v>
      </c>
      <c r="R277" s="18" t="s">
        <v>92</v>
      </c>
      <c r="S277" s="18" t="s">
        <v>93</v>
      </c>
      <c r="T277" s="21"/>
      <c r="U277" s="22"/>
      <c r="V277" s="19"/>
    </row>
    <row r="278" spans="1:22">
      <c r="A278" s="15" t="s">
        <v>24</v>
      </c>
      <c r="B278" s="16">
        <v>46125</v>
      </c>
      <c r="C278" s="17">
        <v>0.68888888888888888</v>
      </c>
      <c r="D278" s="16">
        <v>46125</v>
      </c>
      <c r="E278" s="17">
        <v>0.68888888888888888</v>
      </c>
      <c r="F278" s="16"/>
      <c r="G278" s="16"/>
      <c r="H278" s="18" t="s">
        <v>62</v>
      </c>
      <c r="I278" s="10" t="s">
        <v>80</v>
      </c>
      <c r="J278" s="18" t="s">
        <v>364</v>
      </c>
      <c r="K278" s="18">
        <v>3222704469</v>
      </c>
      <c r="L278" s="18" t="s">
        <v>91</v>
      </c>
      <c r="M278" s="18" t="s">
        <v>35</v>
      </c>
      <c r="N278" s="18" t="s">
        <v>52</v>
      </c>
      <c r="O278" s="18"/>
      <c r="P278" s="18" t="s">
        <v>61</v>
      </c>
      <c r="Q278" s="18" t="s">
        <v>62</v>
      </c>
      <c r="R278" s="18" t="s">
        <v>92</v>
      </c>
      <c r="S278" s="18" t="s">
        <v>93</v>
      </c>
      <c r="T278" s="21"/>
      <c r="U278" s="22"/>
      <c r="V278" s="19"/>
    </row>
    <row r="279" spans="1:22">
      <c r="A279" s="15" t="s">
        <v>24</v>
      </c>
      <c r="B279" s="16">
        <v>46125</v>
      </c>
      <c r="C279" s="17">
        <v>0.63055555555555554</v>
      </c>
      <c r="D279" s="16">
        <v>46125</v>
      </c>
      <c r="E279" s="17">
        <v>0.63055555555555554</v>
      </c>
      <c r="F279" s="16"/>
      <c r="G279" s="16"/>
      <c r="H279" s="18" t="s">
        <v>62</v>
      </c>
      <c r="I279" s="10" t="s">
        <v>80</v>
      </c>
      <c r="J279" s="18"/>
      <c r="K279" s="18">
        <v>3207972590</v>
      </c>
      <c r="L279" s="18" t="s">
        <v>91</v>
      </c>
      <c r="M279" s="18" t="s">
        <v>35</v>
      </c>
      <c r="N279" s="18"/>
      <c r="O279" s="18"/>
      <c r="P279" s="18" t="s">
        <v>61</v>
      </c>
      <c r="Q279" s="18" t="s">
        <v>62</v>
      </c>
      <c r="R279" s="18" t="s">
        <v>92</v>
      </c>
      <c r="S279" s="18" t="s">
        <v>93</v>
      </c>
      <c r="T279" s="18"/>
      <c r="U279" s="19"/>
      <c r="V279" s="19"/>
    </row>
    <row r="280" spans="1:22">
      <c r="A280" s="15" t="s">
        <v>24</v>
      </c>
      <c r="B280" s="16">
        <v>46125</v>
      </c>
      <c r="C280" s="17">
        <v>0.45694444444444443</v>
      </c>
      <c r="D280" s="16">
        <v>46125</v>
      </c>
      <c r="E280" s="17">
        <v>0.48958333333333331</v>
      </c>
      <c r="F280" s="16"/>
      <c r="G280" s="16"/>
      <c r="H280" s="18" t="s">
        <v>365</v>
      </c>
      <c r="I280" s="10" t="s">
        <v>75</v>
      </c>
      <c r="J280" s="18" t="s">
        <v>365</v>
      </c>
      <c r="K280" s="18">
        <v>3212350666</v>
      </c>
      <c r="L280" s="18" t="s">
        <v>75</v>
      </c>
      <c r="M280" s="18" t="s">
        <v>76</v>
      </c>
      <c r="N280" s="18"/>
      <c r="O280" s="18"/>
      <c r="P280" s="18" t="s">
        <v>61</v>
      </c>
      <c r="Q280" s="18" t="s">
        <v>62</v>
      </c>
      <c r="R280" s="18"/>
      <c r="S280" s="18"/>
      <c r="T280" s="21"/>
      <c r="U280" s="22"/>
      <c r="V280" s="19"/>
    </row>
    <row r="281" spans="1:22">
      <c r="A281" s="15" t="s">
        <v>24</v>
      </c>
      <c r="B281" s="16">
        <v>46125</v>
      </c>
      <c r="C281" s="17">
        <v>0.54374999999999996</v>
      </c>
      <c r="D281" s="16">
        <v>46125</v>
      </c>
      <c r="E281" s="17">
        <v>0.54374999999999996</v>
      </c>
      <c r="F281" s="16"/>
      <c r="G281" s="16"/>
      <c r="H281" s="18" t="s">
        <v>366</v>
      </c>
      <c r="I281" s="10" t="s">
        <v>99</v>
      </c>
      <c r="J281" s="18" t="s">
        <v>366</v>
      </c>
      <c r="K281" s="18">
        <v>3023986923</v>
      </c>
      <c r="L281" s="18" t="s">
        <v>101</v>
      </c>
      <c r="M281" s="18" t="s">
        <v>102</v>
      </c>
      <c r="N281" s="18"/>
      <c r="O281" s="18"/>
      <c r="P281" s="18" t="s">
        <v>61</v>
      </c>
      <c r="Q281" s="18" t="s">
        <v>62</v>
      </c>
      <c r="R281" s="18"/>
      <c r="S281" s="18" t="s">
        <v>103</v>
      </c>
      <c r="T281" s="21"/>
      <c r="U281" s="22"/>
      <c r="V281" s="19"/>
    </row>
    <row r="282" spans="1:22">
      <c r="A282" s="15" t="s">
        <v>24</v>
      </c>
      <c r="B282" s="16">
        <v>46126</v>
      </c>
      <c r="C282" s="17">
        <v>0.60972222222222228</v>
      </c>
      <c r="D282" s="16">
        <v>46126</v>
      </c>
      <c r="E282" s="17">
        <v>0.6118055555555556</v>
      </c>
      <c r="F282" s="16"/>
      <c r="G282" s="16"/>
      <c r="H282" s="18" t="s">
        <v>367</v>
      </c>
      <c r="I282" s="10" t="s">
        <v>26</v>
      </c>
      <c r="J282" s="18"/>
      <c r="K282" s="18" t="s">
        <v>368</v>
      </c>
      <c r="L282" s="18" t="s">
        <v>27</v>
      </c>
      <c r="M282" s="18" t="s">
        <v>35</v>
      </c>
      <c r="N282" s="18" t="s">
        <v>369</v>
      </c>
      <c r="O282" s="18" t="s">
        <v>370</v>
      </c>
      <c r="P282" s="18" t="s">
        <v>61</v>
      </c>
      <c r="Q282" s="18" t="s">
        <v>62</v>
      </c>
      <c r="R282" s="18"/>
      <c r="S282" s="18"/>
      <c r="T282" s="18"/>
      <c r="U282" s="19"/>
      <c r="V282" s="19"/>
    </row>
    <row r="283" spans="1:22">
      <c r="A283" s="15" t="s">
        <v>24</v>
      </c>
      <c r="B283" s="16">
        <v>46126</v>
      </c>
      <c r="C283" s="17">
        <v>0.375</v>
      </c>
      <c r="D283" s="16">
        <v>46126</v>
      </c>
      <c r="E283" s="17">
        <v>0.38541666666666669</v>
      </c>
      <c r="F283" s="16"/>
      <c r="G283" s="16"/>
      <c r="H283" s="18" t="s">
        <v>371</v>
      </c>
      <c r="I283" s="10" t="s">
        <v>26</v>
      </c>
      <c r="J283" s="18" t="s">
        <v>372</v>
      </c>
      <c r="K283" s="18">
        <v>3158401953</v>
      </c>
      <c r="L283" s="18" t="s">
        <v>49</v>
      </c>
      <c r="M283" s="10" t="s">
        <v>35</v>
      </c>
      <c r="N283" s="18" t="s">
        <v>52</v>
      </c>
      <c r="O283" s="18" t="s">
        <v>373</v>
      </c>
      <c r="P283" s="18" t="s">
        <v>61</v>
      </c>
      <c r="Q283" s="18" t="s">
        <v>62</v>
      </c>
      <c r="R283" s="18"/>
      <c r="S283" s="18"/>
      <c r="T283" s="21"/>
      <c r="U283" s="22"/>
      <c r="V283" s="19"/>
    </row>
    <row r="284" spans="1:22">
      <c r="A284" s="15" t="s">
        <v>24</v>
      </c>
      <c r="B284" s="16">
        <v>46126</v>
      </c>
      <c r="C284" s="17">
        <v>0.41111111111111109</v>
      </c>
      <c r="D284" s="16">
        <v>46126</v>
      </c>
      <c r="E284" s="17">
        <v>0.41111111111111109</v>
      </c>
      <c r="F284" s="16">
        <v>46126</v>
      </c>
      <c r="G284" s="16">
        <v>46126</v>
      </c>
      <c r="H284" s="18" t="s">
        <v>374</v>
      </c>
      <c r="I284" s="10" t="s">
        <v>26</v>
      </c>
      <c r="J284" s="18" t="s">
        <v>375</v>
      </c>
      <c r="K284" s="18">
        <v>3136840184</v>
      </c>
      <c r="L284" s="10" t="s">
        <v>49</v>
      </c>
      <c r="M284" s="18" t="s">
        <v>89</v>
      </c>
      <c r="N284" s="18" t="s">
        <v>29</v>
      </c>
      <c r="O284" s="18"/>
      <c r="P284" s="18" t="s">
        <v>30</v>
      </c>
      <c r="Q284" s="18" t="s">
        <v>113</v>
      </c>
      <c r="R284" s="18" t="s">
        <v>179</v>
      </c>
      <c r="S284" s="18" t="s">
        <v>268</v>
      </c>
      <c r="T284" s="21">
        <v>15000000</v>
      </c>
      <c r="U284" s="22" t="s">
        <v>114</v>
      </c>
      <c r="V284" s="19"/>
    </row>
    <row r="285" spans="1:22">
      <c r="A285" s="15" t="s">
        <v>24</v>
      </c>
      <c r="B285" s="16">
        <v>46126</v>
      </c>
      <c r="C285" s="9">
        <v>0.52916666666666667</v>
      </c>
      <c r="D285" s="16">
        <v>46126</v>
      </c>
      <c r="E285" s="9">
        <v>0.52916666666666667</v>
      </c>
      <c r="F285" s="16">
        <v>46126</v>
      </c>
      <c r="G285" s="16"/>
      <c r="H285" s="18" t="s">
        <v>376</v>
      </c>
      <c r="I285" s="10" t="s">
        <v>26</v>
      </c>
      <c r="J285" s="18" t="s">
        <v>377</v>
      </c>
      <c r="K285" s="18">
        <v>3242878798</v>
      </c>
      <c r="L285" s="18" t="s">
        <v>49</v>
      </c>
      <c r="M285" s="18" t="s">
        <v>28</v>
      </c>
      <c r="N285" s="18" t="s">
        <v>354</v>
      </c>
      <c r="O285" s="18" t="s">
        <v>29</v>
      </c>
      <c r="P285" s="18" t="s">
        <v>30</v>
      </c>
      <c r="Q285" s="18" t="s">
        <v>378</v>
      </c>
      <c r="R285" s="18" t="s">
        <v>179</v>
      </c>
      <c r="S285" s="18"/>
      <c r="T285" s="21"/>
      <c r="U285" s="22"/>
      <c r="V285" s="19"/>
    </row>
    <row r="286" spans="1:22">
      <c r="A286" s="15" t="s">
        <v>24</v>
      </c>
      <c r="B286" s="28">
        <v>46127</v>
      </c>
      <c r="C286" s="17">
        <v>0.49652777777777779</v>
      </c>
      <c r="D286" s="28">
        <v>46128</v>
      </c>
      <c r="E286" s="17">
        <v>0.66527777777777775</v>
      </c>
      <c r="F286" s="16"/>
      <c r="G286" s="16"/>
      <c r="H286" s="18" t="s">
        <v>379</v>
      </c>
      <c r="I286" s="10" t="s">
        <v>26</v>
      </c>
      <c r="J286" s="18" t="s">
        <v>380</v>
      </c>
      <c r="K286" s="18" t="s">
        <v>381</v>
      </c>
      <c r="L286" s="10" t="s">
        <v>27</v>
      </c>
      <c r="M286" s="18"/>
      <c r="N286" s="18"/>
      <c r="O286" s="18"/>
      <c r="P286" s="18" t="s">
        <v>61</v>
      </c>
      <c r="Q286" s="18" t="s">
        <v>62</v>
      </c>
      <c r="R286" s="18" t="s">
        <v>126</v>
      </c>
      <c r="S286" s="18"/>
      <c r="T286" s="18"/>
      <c r="U286" s="19"/>
      <c r="V286" s="19"/>
    </row>
    <row r="287" spans="1:22">
      <c r="A287" s="15" t="s">
        <v>173</v>
      </c>
      <c r="B287" s="28">
        <v>46127</v>
      </c>
      <c r="C287" s="17">
        <v>0.88472222222222219</v>
      </c>
      <c r="D287" s="28">
        <v>46128</v>
      </c>
      <c r="E287" s="17">
        <v>0.63541666666666663</v>
      </c>
      <c r="F287" s="16"/>
      <c r="G287" s="16"/>
      <c r="H287" s="18" t="s">
        <v>382</v>
      </c>
      <c r="I287" s="18" t="s">
        <v>26</v>
      </c>
      <c r="J287" s="18" t="s">
        <v>383</v>
      </c>
      <c r="K287" s="18" t="s">
        <v>384</v>
      </c>
      <c r="L287" s="18" t="s">
        <v>49</v>
      </c>
      <c r="M287" s="18"/>
      <c r="N287" s="18" t="s">
        <v>385</v>
      </c>
      <c r="O287" s="18"/>
      <c r="P287" s="18" t="s">
        <v>61</v>
      </c>
      <c r="Q287" s="18" t="s">
        <v>62</v>
      </c>
      <c r="R287" s="18" t="s">
        <v>126</v>
      </c>
      <c r="S287" s="18"/>
      <c r="T287" s="18"/>
      <c r="U287" s="19"/>
      <c r="V287" s="19" t="s">
        <v>386</v>
      </c>
    </row>
    <row r="288" spans="1:22">
      <c r="A288" s="15" t="s">
        <v>24</v>
      </c>
      <c r="B288" s="28">
        <v>46127</v>
      </c>
      <c r="C288" s="17">
        <v>0.45208333333333334</v>
      </c>
      <c r="D288" s="28">
        <v>46128</v>
      </c>
      <c r="E288" s="17">
        <v>0.6743055555555556</v>
      </c>
      <c r="F288" s="16"/>
      <c r="G288" s="16"/>
      <c r="H288" s="18" t="s">
        <v>387</v>
      </c>
      <c r="I288" s="18" t="s">
        <v>26</v>
      </c>
      <c r="J288" s="18" t="s">
        <v>388</v>
      </c>
      <c r="K288" s="18" t="s">
        <v>389</v>
      </c>
      <c r="L288" s="18" t="s">
        <v>49</v>
      </c>
      <c r="M288" s="18" t="s">
        <v>180</v>
      </c>
      <c r="N288" s="18" t="s">
        <v>385</v>
      </c>
      <c r="O288" s="18" t="s">
        <v>390</v>
      </c>
      <c r="P288" s="18" t="s">
        <v>61</v>
      </c>
      <c r="Q288" s="18" t="s">
        <v>62</v>
      </c>
      <c r="R288" s="18"/>
      <c r="S288" s="18"/>
      <c r="T288" s="18"/>
      <c r="U288" s="19"/>
      <c r="V288" s="19"/>
    </row>
    <row r="289" spans="1:22">
      <c r="A289" s="15" t="s">
        <v>24</v>
      </c>
      <c r="B289" s="16">
        <v>46127</v>
      </c>
      <c r="C289" s="17">
        <v>0.31388888888888888</v>
      </c>
      <c r="D289" s="28">
        <v>46128</v>
      </c>
      <c r="E289" s="17">
        <v>0.6791666666666667</v>
      </c>
      <c r="F289" s="16"/>
      <c r="G289" s="16"/>
      <c r="H289" s="18" t="s">
        <v>62</v>
      </c>
      <c r="I289" s="18" t="s">
        <v>80</v>
      </c>
      <c r="J289" s="18" t="s">
        <v>91</v>
      </c>
      <c r="K289" s="18" t="s">
        <v>391</v>
      </c>
      <c r="L289" s="10" t="s">
        <v>91</v>
      </c>
      <c r="M289" s="18" t="s">
        <v>35</v>
      </c>
      <c r="N289" s="18" t="s">
        <v>385</v>
      </c>
      <c r="O289" s="18"/>
      <c r="P289" s="18" t="s">
        <v>61</v>
      </c>
      <c r="Q289" s="18" t="s">
        <v>62</v>
      </c>
      <c r="R289" s="18" t="s">
        <v>92</v>
      </c>
      <c r="S289" s="18" t="s">
        <v>93</v>
      </c>
      <c r="T289" s="18"/>
      <c r="U289" s="19"/>
      <c r="V289" s="19"/>
    </row>
    <row r="290" spans="1:22">
      <c r="A290" s="15" t="s">
        <v>24</v>
      </c>
      <c r="B290" s="16">
        <v>46127</v>
      </c>
      <c r="C290" s="17">
        <v>0.50277777777777777</v>
      </c>
      <c r="D290" s="28">
        <v>46127</v>
      </c>
      <c r="E290" s="17">
        <v>0.50277777777777777</v>
      </c>
      <c r="F290" s="16"/>
      <c r="G290" s="16"/>
      <c r="H290" s="18" t="s">
        <v>62</v>
      </c>
      <c r="I290" s="18" t="s">
        <v>99</v>
      </c>
      <c r="J290" s="18"/>
      <c r="K290" s="18" t="s">
        <v>392</v>
      </c>
      <c r="L290" s="18" t="s">
        <v>101</v>
      </c>
      <c r="M290" s="18"/>
      <c r="N290" s="18"/>
      <c r="O290" s="18"/>
      <c r="P290" s="18" t="s">
        <v>61</v>
      </c>
      <c r="Q290" s="18" t="s">
        <v>62</v>
      </c>
      <c r="R290" s="18" t="s">
        <v>179</v>
      </c>
      <c r="S290" s="18"/>
      <c r="T290" s="18"/>
      <c r="U290" s="19"/>
      <c r="V290" s="19"/>
    </row>
    <row r="291" spans="1:22">
      <c r="A291" s="15" t="s">
        <v>24</v>
      </c>
      <c r="B291" s="16">
        <v>46127</v>
      </c>
      <c r="C291" s="17">
        <v>0.39166666666666666</v>
      </c>
      <c r="D291" s="28">
        <v>46128</v>
      </c>
      <c r="E291" s="17">
        <v>0.67708333333333337</v>
      </c>
      <c r="F291" s="16"/>
      <c r="G291" s="16"/>
      <c r="H291" s="18" t="s">
        <v>393</v>
      </c>
      <c r="I291" s="18" t="s">
        <v>26</v>
      </c>
      <c r="J291" s="18" t="s">
        <v>394</v>
      </c>
      <c r="K291" s="18" t="s">
        <v>395</v>
      </c>
      <c r="L291" s="18" t="s">
        <v>49</v>
      </c>
      <c r="M291" s="18" t="s">
        <v>72</v>
      </c>
      <c r="N291" s="18"/>
      <c r="O291" s="18" t="s">
        <v>247</v>
      </c>
      <c r="P291" s="18" t="s">
        <v>61</v>
      </c>
      <c r="Q291" s="18" t="s">
        <v>62</v>
      </c>
      <c r="R291" s="18" t="s">
        <v>126</v>
      </c>
      <c r="S291" s="18"/>
      <c r="T291" s="18"/>
      <c r="U291" s="19"/>
      <c r="V291" s="19"/>
    </row>
    <row r="292" spans="1:22">
      <c r="A292" s="15" t="s">
        <v>24</v>
      </c>
      <c r="B292" s="16">
        <v>46127</v>
      </c>
      <c r="C292" s="17">
        <v>0.50763888888888886</v>
      </c>
      <c r="D292" s="28">
        <v>46128</v>
      </c>
      <c r="E292" s="17">
        <v>0.65138888888888891</v>
      </c>
      <c r="F292" s="16"/>
      <c r="G292" s="16"/>
      <c r="H292" s="18"/>
      <c r="I292" s="18"/>
      <c r="J292" s="18"/>
      <c r="K292" s="18">
        <v>3229490905</v>
      </c>
      <c r="L292" s="18"/>
      <c r="M292" s="18"/>
      <c r="N292" s="18"/>
      <c r="O292" s="18"/>
      <c r="P292" s="18" t="s">
        <v>61</v>
      </c>
      <c r="Q292" s="18" t="s">
        <v>62</v>
      </c>
      <c r="R292" s="18"/>
      <c r="S292" s="18"/>
      <c r="T292" s="18"/>
      <c r="U292" s="19"/>
      <c r="V292" s="19"/>
    </row>
    <row r="293" spans="1:22">
      <c r="A293" s="15" t="s">
        <v>24</v>
      </c>
      <c r="B293" s="16">
        <v>46127</v>
      </c>
      <c r="C293" s="17">
        <v>0.77777777777777779</v>
      </c>
      <c r="D293" s="16">
        <v>46128</v>
      </c>
      <c r="E293" s="17">
        <v>0.6875</v>
      </c>
      <c r="F293" s="16"/>
      <c r="G293" s="16"/>
      <c r="H293" s="18"/>
      <c r="I293" s="18"/>
      <c r="J293" s="18"/>
      <c r="K293" s="18" t="s">
        <v>396</v>
      </c>
      <c r="L293" s="18"/>
      <c r="M293" s="18"/>
      <c r="N293" s="18"/>
      <c r="O293" s="18"/>
      <c r="P293" s="18" t="s">
        <v>61</v>
      </c>
      <c r="Q293" s="18" t="s">
        <v>62</v>
      </c>
      <c r="R293" s="18"/>
      <c r="S293" s="18"/>
      <c r="T293" s="18"/>
      <c r="U293" s="19"/>
      <c r="V293" s="19"/>
    </row>
    <row r="294" spans="1:22">
      <c r="A294" s="15" t="s">
        <v>24</v>
      </c>
      <c r="B294" s="16">
        <v>46128</v>
      </c>
      <c r="C294" s="17">
        <v>0.37083333333333335</v>
      </c>
      <c r="D294" s="16">
        <v>46128</v>
      </c>
      <c r="E294" s="17">
        <v>0.37083333333333335</v>
      </c>
      <c r="F294" s="16"/>
      <c r="G294" s="16"/>
      <c r="H294" s="18" t="s">
        <v>397</v>
      </c>
      <c r="I294" s="18" t="s">
        <v>26</v>
      </c>
      <c r="J294" s="18" t="s">
        <v>398</v>
      </c>
      <c r="K294" s="18" t="s">
        <v>399</v>
      </c>
      <c r="L294" s="18" t="s">
        <v>27</v>
      </c>
      <c r="M294" s="18"/>
      <c r="N294" s="18"/>
      <c r="O294" s="18"/>
      <c r="P294" s="18" t="s">
        <v>61</v>
      </c>
      <c r="Q294" s="18" t="s">
        <v>62</v>
      </c>
      <c r="R294" s="18" t="s">
        <v>126</v>
      </c>
      <c r="S294" s="18"/>
      <c r="T294" s="18"/>
      <c r="U294" s="19"/>
      <c r="V294" s="19"/>
    </row>
    <row r="295" spans="1:22">
      <c r="A295" s="15" t="s">
        <v>24</v>
      </c>
      <c r="B295" s="16">
        <v>46128</v>
      </c>
      <c r="C295" s="17">
        <v>0.51041666666666663</v>
      </c>
      <c r="D295" s="16">
        <v>46128</v>
      </c>
      <c r="E295" s="17">
        <v>0.51041666666666663</v>
      </c>
      <c r="F295" s="16"/>
      <c r="G295" s="16"/>
      <c r="H295" s="18" t="s">
        <v>400</v>
      </c>
      <c r="I295" s="18" t="s">
        <v>26</v>
      </c>
      <c r="J295" s="18" t="s">
        <v>401</v>
      </c>
      <c r="K295" s="18">
        <v>3105688674</v>
      </c>
      <c r="L295" s="18" t="s">
        <v>49</v>
      </c>
      <c r="M295" s="18" t="s">
        <v>35</v>
      </c>
      <c r="N295" s="18" t="s">
        <v>144</v>
      </c>
      <c r="O295" s="18" t="s">
        <v>402</v>
      </c>
      <c r="P295" s="18" t="s">
        <v>61</v>
      </c>
      <c r="Q295" s="18" t="s">
        <v>62</v>
      </c>
      <c r="R295" s="18" t="s">
        <v>179</v>
      </c>
      <c r="S295" s="18" t="s">
        <v>68</v>
      </c>
      <c r="T295" s="18"/>
      <c r="U295" s="19"/>
      <c r="V295" s="19"/>
    </row>
    <row r="296" spans="1:22">
      <c r="A296" s="15" t="s">
        <v>24</v>
      </c>
      <c r="B296" s="16">
        <v>46128</v>
      </c>
      <c r="C296" s="17">
        <v>0.52430555555555558</v>
      </c>
      <c r="D296" s="16">
        <v>46128</v>
      </c>
      <c r="E296" s="17">
        <v>0.52430555555555558</v>
      </c>
      <c r="F296" s="16"/>
      <c r="G296" s="16"/>
      <c r="H296" s="18"/>
      <c r="I296" s="18" t="s">
        <v>26</v>
      </c>
      <c r="J296" s="18" t="s">
        <v>403</v>
      </c>
      <c r="K296" s="18">
        <v>3044457329</v>
      </c>
      <c r="L296" s="18" t="s">
        <v>49</v>
      </c>
      <c r="M296" s="18" t="s">
        <v>35</v>
      </c>
      <c r="N296" s="18" t="s">
        <v>52</v>
      </c>
      <c r="O296" s="18" t="s">
        <v>86</v>
      </c>
      <c r="P296" s="18" t="s">
        <v>61</v>
      </c>
      <c r="Q296" s="18" t="s">
        <v>62</v>
      </c>
      <c r="R296" s="18" t="s">
        <v>179</v>
      </c>
      <c r="S296" s="18"/>
      <c r="T296" s="18"/>
      <c r="U296" s="19"/>
      <c r="V296" s="19"/>
    </row>
    <row r="297" spans="1:22">
      <c r="A297" s="15" t="s">
        <v>24</v>
      </c>
      <c r="B297" s="16">
        <v>46128</v>
      </c>
      <c r="C297" s="17">
        <v>0.49513888888888891</v>
      </c>
      <c r="D297" s="16">
        <v>46128</v>
      </c>
      <c r="E297" s="17">
        <v>0.49652777777777779</v>
      </c>
      <c r="F297" s="16"/>
      <c r="G297" s="16"/>
      <c r="H297" s="18" t="s">
        <v>62</v>
      </c>
      <c r="I297" s="18" t="s">
        <v>75</v>
      </c>
      <c r="J297" s="18"/>
      <c r="K297" s="18" t="s">
        <v>404</v>
      </c>
      <c r="L297" s="18" t="s">
        <v>75</v>
      </c>
      <c r="M297" s="18" t="s">
        <v>76</v>
      </c>
      <c r="N297" s="18"/>
      <c r="O297" s="18"/>
      <c r="P297" s="18" t="s">
        <v>61</v>
      </c>
      <c r="Q297" s="18" t="s">
        <v>62</v>
      </c>
      <c r="R297" s="18" t="s">
        <v>126</v>
      </c>
      <c r="S297" s="18"/>
      <c r="T297" s="18"/>
      <c r="U297" s="19"/>
      <c r="V297" s="19"/>
    </row>
    <row r="298" spans="1:22">
      <c r="A298" s="15" t="s">
        <v>24</v>
      </c>
      <c r="B298" s="16">
        <v>46128</v>
      </c>
      <c r="C298" s="17">
        <v>0.34444444444444444</v>
      </c>
      <c r="D298" s="16">
        <v>46128</v>
      </c>
      <c r="E298" s="17">
        <v>0.61875000000000002</v>
      </c>
      <c r="F298" s="16"/>
      <c r="G298" s="16"/>
      <c r="H298" s="18" t="s">
        <v>62</v>
      </c>
      <c r="I298" s="18" t="s">
        <v>75</v>
      </c>
      <c r="J298" s="18" t="s">
        <v>75</v>
      </c>
      <c r="K298" s="18" t="s">
        <v>405</v>
      </c>
      <c r="L298" s="18" t="s">
        <v>75</v>
      </c>
      <c r="M298" s="18" t="s">
        <v>76</v>
      </c>
      <c r="N298" s="18"/>
      <c r="O298" s="18"/>
      <c r="P298" s="18" t="s">
        <v>61</v>
      </c>
      <c r="Q298" s="18" t="s">
        <v>62</v>
      </c>
      <c r="R298" s="18" t="s">
        <v>126</v>
      </c>
      <c r="S298" s="18"/>
      <c r="T298" s="18"/>
      <c r="U298" s="19"/>
      <c r="V298" s="19"/>
    </row>
    <row r="299" spans="1:22">
      <c r="A299" s="15" t="s">
        <v>173</v>
      </c>
      <c r="B299" s="16">
        <v>46128</v>
      </c>
      <c r="C299" s="17">
        <v>0.61805555555555558</v>
      </c>
      <c r="D299" s="16">
        <v>46128</v>
      </c>
      <c r="E299" s="17">
        <v>0.61805555555555558</v>
      </c>
      <c r="F299" s="16"/>
      <c r="G299" s="16"/>
      <c r="H299" s="18" t="s">
        <v>62</v>
      </c>
      <c r="I299" s="18" t="s">
        <v>75</v>
      </c>
      <c r="J299" s="18" t="s">
        <v>75</v>
      </c>
      <c r="K299" s="18" t="s">
        <v>406</v>
      </c>
      <c r="L299" s="18" t="s">
        <v>75</v>
      </c>
      <c r="M299" s="18" t="s">
        <v>76</v>
      </c>
      <c r="N299" s="18"/>
      <c r="O299" s="18"/>
      <c r="P299" s="18" t="s">
        <v>61</v>
      </c>
      <c r="Q299" s="18" t="s">
        <v>62</v>
      </c>
      <c r="R299" s="18" t="s">
        <v>126</v>
      </c>
      <c r="S299" s="18"/>
      <c r="T299" s="18"/>
      <c r="U299" s="19"/>
      <c r="V299" s="19"/>
    </row>
    <row r="300" spans="1:22">
      <c r="A300" s="15" t="s">
        <v>79</v>
      </c>
      <c r="B300" s="16">
        <v>46128</v>
      </c>
      <c r="C300" s="17">
        <v>0.42916666666666664</v>
      </c>
      <c r="D300" s="16">
        <v>46128</v>
      </c>
      <c r="E300" s="17">
        <v>0.42916666666666664</v>
      </c>
      <c r="F300" s="16"/>
      <c r="G300" s="16"/>
      <c r="H300" s="18" t="s">
        <v>407</v>
      </c>
      <c r="I300" s="18" t="s">
        <v>26</v>
      </c>
      <c r="J300" s="18"/>
      <c r="K300" s="18"/>
      <c r="L300" s="18" t="s">
        <v>101</v>
      </c>
      <c r="M300" s="18" t="s">
        <v>102</v>
      </c>
      <c r="N300" s="18"/>
      <c r="O300" s="18"/>
      <c r="P300" s="18" t="s">
        <v>61</v>
      </c>
      <c r="Q300" s="18" t="s">
        <v>62</v>
      </c>
      <c r="R300" s="18" t="s">
        <v>126</v>
      </c>
      <c r="S300" s="18" t="s">
        <v>408</v>
      </c>
      <c r="T300" s="18"/>
      <c r="U300" s="19"/>
      <c r="V300" s="19"/>
    </row>
    <row r="301" spans="1:22">
      <c r="A301" s="15" t="s">
        <v>24</v>
      </c>
      <c r="B301" s="16">
        <v>46128</v>
      </c>
      <c r="C301" s="17">
        <v>0.62708333333333333</v>
      </c>
      <c r="D301" s="16">
        <v>46128</v>
      </c>
      <c r="E301" s="17">
        <v>0.63124999999999998</v>
      </c>
      <c r="F301" s="16"/>
      <c r="G301" s="16"/>
      <c r="H301" s="18" t="s">
        <v>62</v>
      </c>
      <c r="I301" s="18" t="s">
        <v>26</v>
      </c>
      <c r="J301" s="18"/>
      <c r="K301" s="18"/>
      <c r="L301" s="18"/>
      <c r="M301" s="18" t="s">
        <v>72</v>
      </c>
      <c r="N301" s="18" t="s">
        <v>409</v>
      </c>
      <c r="O301" s="18" t="s">
        <v>410</v>
      </c>
      <c r="P301" s="18" t="s">
        <v>61</v>
      </c>
      <c r="Q301" s="18" t="s">
        <v>62</v>
      </c>
      <c r="R301" s="18" t="s">
        <v>126</v>
      </c>
      <c r="S301" s="18"/>
      <c r="T301" s="18"/>
      <c r="U301" s="19"/>
      <c r="V301" s="19"/>
    </row>
    <row r="302" spans="1:22">
      <c r="A302" s="15" t="s">
        <v>24</v>
      </c>
      <c r="B302" s="16">
        <v>46129</v>
      </c>
      <c r="C302" s="17">
        <v>0.62847222222222221</v>
      </c>
      <c r="D302" s="16">
        <v>46129</v>
      </c>
      <c r="E302" s="17">
        <v>0.62847222222222221</v>
      </c>
      <c r="F302" s="16"/>
      <c r="G302" s="16"/>
      <c r="H302" s="18"/>
      <c r="I302" s="18" t="s">
        <v>26</v>
      </c>
      <c r="J302" s="18" t="s">
        <v>411</v>
      </c>
      <c r="K302" s="18">
        <v>3023510608</v>
      </c>
      <c r="L302" s="18" t="s">
        <v>49</v>
      </c>
      <c r="M302" s="18" t="s">
        <v>89</v>
      </c>
      <c r="N302" s="18"/>
      <c r="O302" s="18"/>
      <c r="P302" s="18" t="s">
        <v>61</v>
      </c>
      <c r="Q302" s="18" t="s">
        <v>62</v>
      </c>
      <c r="R302" s="18" t="s">
        <v>179</v>
      </c>
      <c r="S302" s="18"/>
      <c r="T302" s="18"/>
      <c r="U302" s="19"/>
      <c r="V302" s="19"/>
    </row>
    <row r="303" spans="1:22">
      <c r="A303" s="15" t="s">
        <v>24</v>
      </c>
      <c r="B303" s="16">
        <v>46129</v>
      </c>
      <c r="C303" s="17">
        <v>0.62361111111111112</v>
      </c>
      <c r="D303" s="16">
        <v>46129</v>
      </c>
      <c r="E303" s="17">
        <v>0.62361111111111112</v>
      </c>
      <c r="F303" s="16"/>
      <c r="G303" s="16"/>
      <c r="H303" s="18" t="s">
        <v>62</v>
      </c>
      <c r="I303" s="18" t="s">
        <v>75</v>
      </c>
      <c r="J303" s="18" t="s">
        <v>412</v>
      </c>
      <c r="K303" s="18">
        <v>3159445996</v>
      </c>
      <c r="L303" s="18" t="s">
        <v>75</v>
      </c>
      <c r="M303" s="18" t="s">
        <v>76</v>
      </c>
      <c r="N303" s="18"/>
      <c r="O303" s="18"/>
      <c r="P303" s="18" t="s">
        <v>61</v>
      </c>
      <c r="Q303" s="18" t="s">
        <v>62</v>
      </c>
      <c r="R303" s="18" t="s">
        <v>413</v>
      </c>
      <c r="S303" s="18"/>
      <c r="T303" s="10"/>
      <c r="U303" s="19"/>
      <c r="V303" s="19"/>
    </row>
    <row r="304" spans="1:22">
      <c r="A304" s="15" t="s">
        <v>414</v>
      </c>
      <c r="B304" s="16">
        <v>46129</v>
      </c>
      <c r="C304" s="17">
        <v>0.43125000000000002</v>
      </c>
      <c r="D304" s="16">
        <v>46129</v>
      </c>
      <c r="E304" s="17">
        <v>0.43125000000000002</v>
      </c>
      <c r="F304" s="16"/>
      <c r="G304" s="16"/>
      <c r="H304" s="18" t="s">
        <v>62</v>
      </c>
      <c r="I304" s="18" t="s">
        <v>80</v>
      </c>
      <c r="J304" s="18"/>
      <c r="K304" s="18" t="s">
        <v>415</v>
      </c>
      <c r="L304" s="36" t="s">
        <v>91</v>
      </c>
      <c r="M304" s="18"/>
      <c r="N304" s="18"/>
      <c r="O304" s="18"/>
      <c r="P304" s="18" t="s">
        <v>61</v>
      </c>
      <c r="Q304" s="18" t="s">
        <v>62</v>
      </c>
      <c r="R304" s="18"/>
      <c r="S304" s="18"/>
      <c r="T304" s="18"/>
      <c r="U304" s="19"/>
      <c r="V304" s="19"/>
    </row>
    <row r="305" spans="1:24">
      <c r="A305" s="15" t="s">
        <v>24</v>
      </c>
      <c r="B305" s="16">
        <v>46131</v>
      </c>
      <c r="C305" s="17">
        <v>0.53541666666666665</v>
      </c>
      <c r="D305" s="16">
        <v>46132</v>
      </c>
      <c r="E305" s="17">
        <v>0.53541666666666665</v>
      </c>
      <c r="F305" s="16"/>
      <c r="G305" s="16"/>
      <c r="H305" s="18" t="s">
        <v>62</v>
      </c>
      <c r="I305" s="18" t="s">
        <v>75</v>
      </c>
      <c r="J305" s="18" t="s">
        <v>416</v>
      </c>
      <c r="K305" s="18" t="s">
        <v>417</v>
      </c>
      <c r="L305" s="18" t="s">
        <v>75</v>
      </c>
      <c r="M305" s="18" t="s">
        <v>76</v>
      </c>
      <c r="N305" s="18"/>
      <c r="O305" s="18"/>
      <c r="P305" s="10" t="s">
        <v>61</v>
      </c>
      <c r="Q305" s="18" t="s">
        <v>62</v>
      </c>
      <c r="R305" s="18" t="s">
        <v>62</v>
      </c>
      <c r="S305" s="18"/>
      <c r="T305" s="18"/>
      <c r="U305" s="19"/>
      <c r="V305" s="19"/>
    </row>
    <row r="306" spans="1:24">
      <c r="A306" s="15" t="s">
        <v>24</v>
      </c>
      <c r="B306" s="16">
        <v>46132</v>
      </c>
      <c r="C306" s="17">
        <v>0.44722222222222224</v>
      </c>
      <c r="D306" s="16">
        <v>46132</v>
      </c>
      <c r="E306" s="17">
        <v>0.46666666666666667</v>
      </c>
      <c r="F306" s="16"/>
      <c r="G306" s="16"/>
      <c r="H306" s="18" t="s">
        <v>62</v>
      </c>
      <c r="I306" s="18" t="s">
        <v>26</v>
      </c>
      <c r="J306" s="18" t="s">
        <v>418</v>
      </c>
      <c r="K306" s="18" t="s">
        <v>419</v>
      </c>
      <c r="L306" s="18" t="s">
        <v>49</v>
      </c>
      <c r="M306" s="18" t="s">
        <v>72</v>
      </c>
      <c r="N306" s="18"/>
      <c r="O306" s="18"/>
      <c r="P306" s="18"/>
      <c r="Q306" s="18"/>
      <c r="R306" s="18"/>
      <c r="S306" s="18"/>
      <c r="T306" s="18"/>
      <c r="U306" s="19"/>
      <c r="V306" s="19"/>
    </row>
    <row r="307" spans="1:24">
      <c r="A307" s="15" t="s">
        <v>414</v>
      </c>
      <c r="B307" s="16">
        <v>46132</v>
      </c>
      <c r="C307" s="17">
        <v>0.39305555555555555</v>
      </c>
      <c r="D307" s="16">
        <v>46132</v>
      </c>
      <c r="E307" s="17">
        <v>0.49791666666666667</v>
      </c>
      <c r="F307" s="16"/>
      <c r="G307" s="16"/>
      <c r="H307" s="18" t="s">
        <v>420</v>
      </c>
      <c r="I307" s="18" t="s">
        <v>26</v>
      </c>
      <c r="J307" s="18" t="s">
        <v>421</v>
      </c>
      <c r="K307" s="18" t="s">
        <v>422</v>
      </c>
      <c r="L307" s="18" t="s">
        <v>49</v>
      </c>
      <c r="M307" s="18" t="s">
        <v>72</v>
      </c>
      <c r="N307" s="18" t="s">
        <v>423</v>
      </c>
      <c r="O307" s="18" t="s">
        <v>424</v>
      </c>
      <c r="P307" s="18" t="s">
        <v>61</v>
      </c>
      <c r="Q307" s="18" t="s">
        <v>62</v>
      </c>
      <c r="R307" s="18"/>
      <c r="S307" s="18"/>
      <c r="T307" s="18"/>
      <c r="U307" s="19"/>
      <c r="V307" s="19"/>
    </row>
    <row r="308" spans="1:24">
      <c r="A308" s="15" t="s">
        <v>24</v>
      </c>
      <c r="B308" s="16">
        <v>46132</v>
      </c>
      <c r="C308" s="17">
        <v>0.59097222222222223</v>
      </c>
      <c r="D308" s="16">
        <v>46133</v>
      </c>
      <c r="E308" s="17">
        <v>0.5756944444444444</v>
      </c>
      <c r="F308" s="16"/>
      <c r="G308" s="16"/>
      <c r="H308" s="18" t="s">
        <v>62</v>
      </c>
      <c r="I308" s="18" t="s">
        <v>80</v>
      </c>
      <c r="J308" s="18" t="s">
        <v>425</v>
      </c>
      <c r="K308" s="18">
        <v>3202364116</v>
      </c>
      <c r="L308" s="18" t="s">
        <v>91</v>
      </c>
      <c r="M308" s="18" t="s">
        <v>35</v>
      </c>
      <c r="N308" s="18"/>
      <c r="O308" s="18"/>
      <c r="P308" s="18" t="s">
        <v>61</v>
      </c>
      <c r="Q308" s="18" t="s">
        <v>62</v>
      </c>
      <c r="R308" s="18" t="s">
        <v>92</v>
      </c>
      <c r="S308" s="18" t="s">
        <v>93</v>
      </c>
      <c r="T308" s="18"/>
      <c r="U308" s="19"/>
      <c r="V308" s="19"/>
    </row>
    <row r="309" spans="1:24">
      <c r="A309" s="15" t="s">
        <v>24</v>
      </c>
      <c r="B309" s="16">
        <v>46133</v>
      </c>
      <c r="C309" s="17">
        <v>0.46527777777777779</v>
      </c>
      <c r="D309" s="16">
        <v>46133</v>
      </c>
      <c r="E309" s="17">
        <v>0.47361111111111109</v>
      </c>
      <c r="F309" s="16">
        <v>46133</v>
      </c>
      <c r="G309" s="16"/>
      <c r="H309" s="18" t="s">
        <v>426</v>
      </c>
      <c r="I309" s="18" t="s">
        <v>26</v>
      </c>
      <c r="J309" s="18" t="s">
        <v>427</v>
      </c>
      <c r="K309" s="18">
        <v>3224112622</v>
      </c>
      <c r="L309" s="18" t="s">
        <v>27</v>
      </c>
      <c r="M309" s="18" t="s">
        <v>35</v>
      </c>
      <c r="N309" s="18" t="s">
        <v>428</v>
      </c>
      <c r="O309" s="18" t="s">
        <v>429</v>
      </c>
      <c r="P309" s="18" t="s">
        <v>30</v>
      </c>
      <c r="Q309" s="18" t="s">
        <v>42</v>
      </c>
      <c r="R309" s="18" t="s">
        <v>179</v>
      </c>
      <c r="S309" s="18" t="s">
        <v>68</v>
      </c>
      <c r="T309" s="18"/>
      <c r="U309" s="19"/>
      <c r="V309" s="19"/>
    </row>
    <row r="310" spans="1:24">
      <c r="A310" s="15" t="s">
        <v>24</v>
      </c>
      <c r="B310" s="16">
        <v>46133</v>
      </c>
      <c r="C310" s="17">
        <v>0.40416666666666667</v>
      </c>
      <c r="D310" s="16">
        <v>46133</v>
      </c>
      <c r="E310" s="17">
        <v>0.42777777777777776</v>
      </c>
      <c r="F310" s="16"/>
      <c r="G310" s="16"/>
      <c r="H310" s="18" t="s">
        <v>430</v>
      </c>
      <c r="I310" s="18" t="s">
        <v>26</v>
      </c>
      <c r="J310" s="18" t="s">
        <v>430</v>
      </c>
      <c r="K310" s="18">
        <v>3239827592</v>
      </c>
      <c r="L310" s="10" t="s">
        <v>27</v>
      </c>
      <c r="M310" s="10" t="s">
        <v>35</v>
      </c>
      <c r="N310" s="18" t="s">
        <v>431</v>
      </c>
      <c r="O310" s="18" t="s">
        <v>432</v>
      </c>
      <c r="P310" s="10" t="s">
        <v>61</v>
      </c>
      <c r="Q310" s="18" t="s">
        <v>244</v>
      </c>
      <c r="R310" s="18" t="s">
        <v>179</v>
      </c>
      <c r="S310" s="18"/>
      <c r="T310" s="18"/>
      <c r="U310" s="19"/>
      <c r="V310" s="19"/>
    </row>
    <row r="311" spans="1:24">
      <c r="A311" s="15" t="s">
        <v>37</v>
      </c>
      <c r="B311" s="16">
        <v>46133</v>
      </c>
      <c r="C311" s="17">
        <v>0.4909722222222222</v>
      </c>
      <c r="D311" s="16"/>
      <c r="E311" s="17"/>
      <c r="F311" s="16"/>
      <c r="G311" s="16"/>
      <c r="H311" s="18" t="s">
        <v>433</v>
      </c>
      <c r="I311" s="18" t="s">
        <v>165</v>
      </c>
      <c r="J311" s="18" t="s">
        <v>434</v>
      </c>
      <c r="K311" s="18"/>
      <c r="L311" s="18" t="s">
        <v>27</v>
      </c>
      <c r="M311" s="10" t="s">
        <v>35</v>
      </c>
      <c r="N311" s="18" t="s">
        <v>435</v>
      </c>
      <c r="O311" s="18" t="s">
        <v>247</v>
      </c>
      <c r="P311" s="18" t="s">
        <v>212</v>
      </c>
      <c r="Q311" s="18" t="s">
        <v>42</v>
      </c>
      <c r="R311" s="18" t="s">
        <v>36</v>
      </c>
      <c r="S311" s="18"/>
      <c r="T311" s="21">
        <v>100000000</v>
      </c>
      <c r="U311" s="19" t="s">
        <v>114</v>
      </c>
      <c r="V311" s="19"/>
      <c r="W311" s="12" t="s">
        <v>248</v>
      </c>
      <c r="X311" s="12" t="s">
        <v>248</v>
      </c>
    </row>
    <row r="312" spans="1:24">
      <c r="A312" s="15" t="s">
        <v>24</v>
      </c>
      <c r="B312" s="16">
        <v>46133</v>
      </c>
      <c r="C312" s="17">
        <v>0.42777777777777776</v>
      </c>
      <c r="D312" s="16">
        <v>46133</v>
      </c>
      <c r="E312" s="17">
        <v>0.42777777777777776</v>
      </c>
      <c r="F312" s="16">
        <v>46133</v>
      </c>
      <c r="G312" s="16"/>
      <c r="H312" s="18" t="s">
        <v>436</v>
      </c>
      <c r="I312" s="18" t="s">
        <v>26</v>
      </c>
      <c r="J312" s="18" t="s">
        <v>436</v>
      </c>
      <c r="K312" s="18">
        <v>3102556127</v>
      </c>
      <c r="L312" s="18" t="s">
        <v>49</v>
      </c>
      <c r="M312" s="10" t="s">
        <v>35</v>
      </c>
      <c r="N312" s="18" t="s">
        <v>437</v>
      </c>
      <c r="O312" s="18" t="s">
        <v>438</v>
      </c>
      <c r="P312" s="18" t="s">
        <v>30</v>
      </c>
      <c r="Q312" s="18" t="s">
        <v>42</v>
      </c>
      <c r="R312" s="18" t="s">
        <v>179</v>
      </c>
      <c r="S312" s="18" t="s">
        <v>68</v>
      </c>
      <c r="T312" s="18"/>
      <c r="U312" s="19"/>
      <c r="V312" s="19"/>
    </row>
    <row r="313" spans="1:24">
      <c r="A313" s="15" t="s">
        <v>24</v>
      </c>
      <c r="B313" s="16">
        <v>46133</v>
      </c>
      <c r="C313" s="17">
        <v>0.43819444444444444</v>
      </c>
      <c r="D313" s="16">
        <v>46133</v>
      </c>
      <c r="E313" s="17">
        <v>0.44305555555555554</v>
      </c>
      <c r="F313" s="16"/>
      <c r="G313" s="16"/>
      <c r="H313" s="18" t="s">
        <v>62</v>
      </c>
      <c r="I313" s="18" t="s">
        <v>80</v>
      </c>
      <c r="J313" s="18" t="s">
        <v>439</v>
      </c>
      <c r="K313" s="18">
        <v>3209676752</v>
      </c>
      <c r="L313" s="18" t="s">
        <v>91</v>
      </c>
      <c r="M313" s="18" t="s">
        <v>35</v>
      </c>
      <c r="N313" s="18"/>
      <c r="O313" s="18"/>
      <c r="P313" s="18" t="s">
        <v>61</v>
      </c>
      <c r="Q313" s="18" t="s">
        <v>62</v>
      </c>
      <c r="R313" s="18" t="s">
        <v>92</v>
      </c>
      <c r="S313" s="18" t="s">
        <v>93</v>
      </c>
      <c r="T313" s="18"/>
      <c r="U313" s="19"/>
      <c r="V313" s="19"/>
    </row>
    <row r="314" spans="1:24">
      <c r="A314" s="15" t="s">
        <v>24</v>
      </c>
      <c r="B314" s="16">
        <v>46133</v>
      </c>
      <c r="C314" s="17">
        <v>0.56111111111111112</v>
      </c>
      <c r="D314" s="16">
        <v>46133</v>
      </c>
      <c r="E314" s="17">
        <v>0.58194444444444449</v>
      </c>
      <c r="F314" s="16"/>
      <c r="G314" s="16"/>
      <c r="H314" s="18" t="s">
        <v>62</v>
      </c>
      <c r="I314" s="18" t="s">
        <v>80</v>
      </c>
      <c r="J314" s="18" t="s">
        <v>440</v>
      </c>
      <c r="K314" s="18">
        <v>3118056896</v>
      </c>
      <c r="L314" s="18" t="s">
        <v>91</v>
      </c>
      <c r="M314" s="18" t="s">
        <v>35</v>
      </c>
      <c r="N314" s="18"/>
      <c r="O314" s="18"/>
      <c r="P314" s="18" t="s">
        <v>61</v>
      </c>
      <c r="Q314" s="18" t="s">
        <v>62</v>
      </c>
      <c r="R314" s="18" t="s">
        <v>92</v>
      </c>
      <c r="S314" s="18" t="s">
        <v>93</v>
      </c>
      <c r="T314" s="10"/>
      <c r="U314" s="19"/>
      <c r="V314" s="19"/>
    </row>
    <row r="315" spans="1:24">
      <c r="A315" s="15" t="s">
        <v>24</v>
      </c>
      <c r="B315" s="25">
        <v>46134</v>
      </c>
      <c r="C315" s="17">
        <v>0.71805555555555556</v>
      </c>
      <c r="D315" s="25">
        <v>46165</v>
      </c>
      <c r="E315" s="17">
        <v>0.38055555555555554</v>
      </c>
      <c r="F315" s="25">
        <v>46135</v>
      </c>
      <c r="G315" s="25">
        <v>46165</v>
      </c>
      <c r="H315" s="18" t="s">
        <v>441</v>
      </c>
      <c r="I315" s="18" t="s">
        <v>26</v>
      </c>
      <c r="J315" s="18" t="s">
        <v>441</v>
      </c>
      <c r="K315" s="18" t="s">
        <v>442</v>
      </c>
      <c r="L315" s="18" t="s">
        <v>49</v>
      </c>
      <c r="M315" s="18" t="s">
        <v>35</v>
      </c>
      <c r="N315" s="18" t="s">
        <v>443</v>
      </c>
      <c r="O315" s="26" t="s">
        <v>444</v>
      </c>
      <c r="P315" s="26" t="s">
        <v>30</v>
      </c>
      <c r="Q315" s="26" t="s">
        <v>31</v>
      </c>
      <c r="R315" s="26" t="s">
        <v>45</v>
      </c>
      <c r="S315" s="18"/>
      <c r="T315" s="21">
        <v>2500000</v>
      </c>
      <c r="U315" s="19" t="s">
        <v>166</v>
      </c>
      <c r="V315" s="19"/>
      <c r="W315" s="12" t="s">
        <v>445</v>
      </c>
      <c r="X315" s="12" t="s">
        <v>167</v>
      </c>
    </row>
    <row r="316" spans="1:24">
      <c r="A316" s="15" t="s">
        <v>24</v>
      </c>
      <c r="B316" s="16">
        <v>46134</v>
      </c>
      <c r="C316" s="17">
        <v>0.46319444444444446</v>
      </c>
      <c r="D316" s="16"/>
      <c r="E316" s="17"/>
      <c r="F316" s="16"/>
      <c r="G316" s="16"/>
      <c r="H316" s="18"/>
      <c r="I316" s="18"/>
      <c r="J316" s="18"/>
      <c r="K316" s="18"/>
      <c r="L316" s="18"/>
      <c r="M316" s="18"/>
      <c r="N316" s="18"/>
      <c r="O316" s="18"/>
      <c r="P316" s="18" t="s">
        <v>61</v>
      </c>
      <c r="Q316" s="18" t="s">
        <v>62</v>
      </c>
      <c r="R316" s="18"/>
      <c r="S316" s="18"/>
      <c r="T316" s="18"/>
      <c r="U316" s="19"/>
      <c r="V316" s="19"/>
    </row>
    <row r="317" spans="1:24">
      <c r="A317" s="15" t="s">
        <v>24</v>
      </c>
      <c r="B317" s="25">
        <v>46135</v>
      </c>
      <c r="C317" s="17">
        <v>0.7006944444444444</v>
      </c>
      <c r="D317" s="25">
        <v>46137</v>
      </c>
      <c r="E317" s="17">
        <v>0.31180555555555556</v>
      </c>
      <c r="F317" s="25"/>
      <c r="G317" s="25"/>
      <c r="H317" s="18" t="s">
        <v>446</v>
      </c>
      <c r="I317" s="18" t="s">
        <v>26</v>
      </c>
      <c r="J317" s="18" t="s">
        <v>447</v>
      </c>
      <c r="K317" s="18" t="s">
        <v>448</v>
      </c>
      <c r="L317" s="18" t="s">
        <v>27</v>
      </c>
      <c r="M317" s="18" t="s">
        <v>89</v>
      </c>
      <c r="N317" s="18"/>
      <c r="O317" s="18"/>
      <c r="P317" s="18" t="s">
        <v>61</v>
      </c>
      <c r="Q317" s="18" t="s">
        <v>62</v>
      </c>
      <c r="R317" s="18"/>
      <c r="S317" s="18"/>
      <c r="T317" s="18"/>
      <c r="U317" s="19"/>
      <c r="V317" s="19"/>
    </row>
    <row r="318" spans="1:24">
      <c r="A318" s="15" t="s">
        <v>24</v>
      </c>
      <c r="B318" s="25">
        <v>46135</v>
      </c>
      <c r="C318" s="17">
        <v>0.35972222222222222</v>
      </c>
      <c r="D318" s="25">
        <v>46135</v>
      </c>
      <c r="E318" s="17">
        <v>0.37986111111111109</v>
      </c>
      <c r="F318" s="25">
        <v>46135</v>
      </c>
      <c r="G318" s="25">
        <v>46136</v>
      </c>
      <c r="H318" s="18" t="s">
        <v>449</v>
      </c>
      <c r="I318" s="18" t="s">
        <v>26</v>
      </c>
      <c r="J318" s="18" t="s">
        <v>450</v>
      </c>
      <c r="K318" s="18" t="s">
        <v>451</v>
      </c>
      <c r="L318" s="18" t="s">
        <v>27</v>
      </c>
      <c r="M318" s="18" t="s">
        <v>89</v>
      </c>
      <c r="N318" s="18" t="s">
        <v>452</v>
      </c>
      <c r="O318" s="18"/>
      <c r="P318" s="18" t="s">
        <v>30</v>
      </c>
      <c r="Q318" s="18" t="s">
        <v>113</v>
      </c>
      <c r="R318" s="18" t="s">
        <v>453</v>
      </c>
      <c r="S318" s="18" t="s">
        <v>454</v>
      </c>
      <c r="T318" s="21">
        <v>1500000</v>
      </c>
      <c r="U318" s="19" t="s">
        <v>114</v>
      </c>
      <c r="V318" s="19"/>
      <c r="W318" s="12" t="s">
        <v>167</v>
      </c>
      <c r="X318" s="12" t="s">
        <v>248</v>
      </c>
    </row>
    <row r="319" spans="1:24">
      <c r="A319" s="15" t="s">
        <v>24</v>
      </c>
      <c r="B319" s="25">
        <v>46135</v>
      </c>
      <c r="C319" s="17">
        <v>0.46180555555555558</v>
      </c>
      <c r="D319" s="25">
        <v>46135</v>
      </c>
      <c r="E319" s="17">
        <v>0.55277777777777781</v>
      </c>
      <c r="F319" s="25"/>
      <c r="G319" s="25"/>
      <c r="H319" s="18" t="s">
        <v>455</v>
      </c>
      <c r="I319" s="18" t="s">
        <v>26</v>
      </c>
      <c r="J319" s="18" t="s">
        <v>456</v>
      </c>
      <c r="K319" s="18" t="s">
        <v>457</v>
      </c>
      <c r="L319" s="18" t="s">
        <v>27</v>
      </c>
      <c r="M319" s="18" t="s">
        <v>89</v>
      </c>
      <c r="N319" s="18" t="s">
        <v>423</v>
      </c>
      <c r="O319" s="18"/>
      <c r="P319" s="18" t="s">
        <v>61</v>
      </c>
      <c r="Q319" s="18" t="s">
        <v>62</v>
      </c>
      <c r="R319" s="18" t="s">
        <v>179</v>
      </c>
      <c r="S319" s="18"/>
      <c r="T319" s="18"/>
      <c r="U319" s="19"/>
      <c r="V319" s="19"/>
    </row>
    <row r="320" spans="1:24">
      <c r="A320" s="15" t="s">
        <v>24</v>
      </c>
      <c r="B320" s="25">
        <v>46135</v>
      </c>
      <c r="C320" s="17">
        <v>0.61875000000000002</v>
      </c>
      <c r="D320" s="25">
        <v>46137</v>
      </c>
      <c r="E320" s="17">
        <v>0.32013888888888886</v>
      </c>
      <c r="F320" s="25"/>
      <c r="G320" s="25"/>
      <c r="H320" s="18" t="s">
        <v>62</v>
      </c>
      <c r="I320" s="18" t="s">
        <v>99</v>
      </c>
      <c r="J320" s="18"/>
      <c r="K320" s="18" t="s">
        <v>458</v>
      </c>
      <c r="L320" s="18" t="s">
        <v>101</v>
      </c>
      <c r="M320" s="18"/>
      <c r="N320" s="18"/>
      <c r="O320" s="18"/>
      <c r="P320" s="18" t="s">
        <v>61</v>
      </c>
      <c r="Q320" s="18" t="s">
        <v>62</v>
      </c>
      <c r="R320" s="18"/>
      <c r="S320" s="18"/>
      <c r="T320" s="18"/>
      <c r="U320" s="19"/>
      <c r="V320" s="19"/>
    </row>
    <row r="321" spans="1:24">
      <c r="A321" s="15" t="s">
        <v>24</v>
      </c>
      <c r="B321" s="25">
        <v>46135</v>
      </c>
      <c r="C321" s="17">
        <v>0.58819444444444446</v>
      </c>
      <c r="D321" s="25">
        <v>46135</v>
      </c>
      <c r="E321" s="17">
        <v>0.58888888888888891</v>
      </c>
      <c r="F321" s="25"/>
      <c r="G321" s="25"/>
      <c r="H321" s="18" t="s">
        <v>62</v>
      </c>
      <c r="I321" s="18" t="s">
        <v>80</v>
      </c>
      <c r="J321" s="18" t="s">
        <v>459</v>
      </c>
      <c r="K321" s="18" t="s">
        <v>460</v>
      </c>
      <c r="L321" s="18" t="s">
        <v>91</v>
      </c>
      <c r="M321" s="18"/>
      <c r="N321" s="18"/>
      <c r="O321" s="18"/>
      <c r="P321" s="18" t="s">
        <v>61</v>
      </c>
      <c r="Q321" s="18" t="s">
        <v>62</v>
      </c>
      <c r="R321" s="18" t="s">
        <v>158</v>
      </c>
      <c r="S321" s="18"/>
      <c r="T321" s="18"/>
      <c r="U321" s="19"/>
      <c r="V321" s="19"/>
    </row>
    <row r="322" spans="1:24">
      <c r="A322" s="15" t="s">
        <v>24</v>
      </c>
      <c r="B322" s="25">
        <v>46135</v>
      </c>
      <c r="C322" s="17">
        <v>0.60277777777777775</v>
      </c>
      <c r="D322" s="25">
        <v>46137</v>
      </c>
      <c r="E322" s="17">
        <v>0.32569444444444445</v>
      </c>
      <c r="F322" s="25"/>
      <c r="G322" s="25"/>
      <c r="H322" s="18"/>
      <c r="I322" s="18"/>
      <c r="J322" s="18"/>
      <c r="K322" s="18" t="s">
        <v>461</v>
      </c>
      <c r="L322" s="18"/>
      <c r="M322" s="18"/>
      <c r="N322" s="18"/>
      <c r="O322" s="18"/>
      <c r="P322" s="18" t="s">
        <v>30</v>
      </c>
      <c r="Q322" s="18" t="s">
        <v>62</v>
      </c>
      <c r="R322" s="18"/>
      <c r="S322" s="18"/>
      <c r="T322" s="18"/>
      <c r="U322" s="19"/>
      <c r="V322" s="19"/>
    </row>
    <row r="323" spans="1:24">
      <c r="A323" s="15" t="s">
        <v>24</v>
      </c>
      <c r="B323" s="25">
        <v>46135</v>
      </c>
      <c r="C323" s="17">
        <v>0.36666666666666664</v>
      </c>
      <c r="D323" s="25">
        <v>46135</v>
      </c>
      <c r="E323" s="17">
        <v>0.37986111111111109</v>
      </c>
      <c r="F323" s="25"/>
      <c r="G323" s="25"/>
      <c r="H323" s="18" t="s">
        <v>62</v>
      </c>
      <c r="I323" s="18" t="s">
        <v>80</v>
      </c>
      <c r="J323" s="18" t="s">
        <v>462</v>
      </c>
      <c r="K323" s="18" t="s">
        <v>463</v>
      </c>
      <c r="L323" s="18" t="s">
        <v>91</v>
      </c>
      <c r="M323" s="18"/>
      <c r="N323" s="18"/>
      <c r="O323" s="18"/>
      <c r="P323" s="18" t="s">
        <v>61</v>
      </c>
      <c r="Q323" s="18" t="s">
        <v>62</v>
      </c>
      <c r="R323" s="18" t="s">
        <v>362</v>
      </c>
      <c r="S323" s="18"/>
      <c r="T323" s="18"/>
      <c r="U323" s="19"/>
      <c r="V323" s="19"/>
    </row>
    <row r="324" spans="1:24">
      <c r="A324" s="15" t="s">
        <v>24</v>
      </c>
      <c r="B324" s="25">
        <v>46136</v>
      </c>
      <c r="C324" s="17">
        <v>0.67361111111111116</v>
      </c>
      <c r="D324" s="25">
        <v>46136</v>
      </c>
      <c r="E324" s="17">
        <v>0.67500000000000004</v>
      </c>
      <c r="F324" s="25">
        <v>46137</v>
      </c>
      <c r="G324" s="25"/>
      <c r="H324" s="18" t="s">
        <v>464</v>
      </c>
      <c r="I324" s="18" t="s">
        <v>26</v>
      </c>
      <c r="J324" s="18" t="s">
        <v>465</v>
      </c>
      <c r="K324" s="18" t="s">
        <v>466</v>
      </c>
      <c r="L324" s="18" t="s">
        <v>49</v>
      </c>
      <c r="M324" s="18" t="s">
        <v>35</v>
      </c>
      <c r="N324" s="18" t="s">
        <v>467</v>
      </c>
      <c r="O324" s="18" t="s">
        <v>452</v>
      </c>
      <c r="P324" s="18" t="s">
        <v>30</v>
      </c>
      <c r="Q324" s="18" t="s">
        <v>42</v>
      </c>
      <c r="R324" s="18" t="s">
        <v>362</v>
      </c>
      <c r="S324" s="18" t="s">
        <v>468</v>
      </c>
      <c r="T324" s="18"/>
      <c r="U324" s="19"/>
      <c r="V324" s="19"/>
      <c r="W324" s="12" t="s">
        <v>445</v>
      </c>
      <c r="X324" s="12" t="s">
        <v>248</v>
      </c>
    </row>
    <row r="325" spans="1:24">
      <c r="A325" s="15" t="s">
        <v>24</v>
      </c>
      <c r="B325" s="25">
        <v>46136</v>
      </c>
      <c r="C325" s="17">
        <v>0.38541666666666669</v>
      </c>
      <c r="D325" s="25">
        <v>46136</v>
      </c>
      <c r="E325" s="17">
        <v>0.38958333333333334</v>
      </c>
      <c r="F325" s="25"/>
      <c r="G325" s="25"/>
      <c r="H325" s="18" t="s">
        <v>469</v>
      </c>
      <c r="I325" s="18" t="s">
        <v>26</v>
      </c>
      <c r="J325" s="18" t="s">
        <v>470</v>
      </c>
      <c r="K325" s="18" t="s">
        <v>471</v>
      </c>
      <c r="L325" s="18" t="s">
        <v>49</v>
      </c>
      <c r="M325" s="18" t="s">
        <v>35</v>
      </c>
      <c r="N325" s="18" t="s">
        <v>472</v>
      </c>
      <c r="O325" s="18" t="s">
        <v>473</v>
      </c>
      <c r="P325" s="18" t="s">
        <v>61</v>
      </c>
      <c r="Q325" s="18" t="s">
        <v>62</v>
      </c>
      <c r="R325" s="18" t="s">
        <v>105</v>
      </c>
      <c r="S325" s="18"/>
      <c r="T325" s="18"/>
      <c r="U325" s="19" t="s">
        <v>166</v>
      </c>
      <c r="V325" s="19"/>
      <c r="W325" s="12" t="s">
        <v>445</v>
      </c>
      <c r="X325" s="12" t="s">
        <v>248</v>
      </c>
    </row>
    <row r="326" spans="1:24">
      <c r="A326" s="15" t="s">
        <v>24</v>
      </c>
      <c r="B326" s="25">
        <v>46136</v>
      </c>
      <c r="C326" s="17">
        <v>0.66597222222222219</v>
      </c>
      <c r="D326" s="25">
        <v>46137</v>
      </c>
      <c r="E326" s="17">
        <v>0.29375000000000001</v>
      </c>
      <c r="F326" s="25"/>
      <c r="G326" s="25"/>
      <c r="H326" s="18" t="s">
        <v>62</v>
      </c>
      <c r="I326" s="18" t="s">
        <v>80</v>
      </c>
      <c r="J326" s="18" t="s">
        <v>474</v>
      </c>
      <c r="K326" s="18" t="s">
        <v>475</v>
      </c>
      <c r="L326" s="18" t="s">
        <v>91</v>
      </c>
      <c r="M326" s="18" t="s">
        <v>476</v>
      </c>
      <c r="N326" s="18" t="s">
        <v>477</v>
      </c>
      <c r="O326" s="18"/>
      <c r="P326" s="18"/>
      <c r="Q326" s="18"/>
      <c r="R326" s="18" t="s">
        <v>105</v>
      </c>
      <c r="S326" s="18"/>
      <c r="T326" s="18"/>
      <c r="U326" s="19"/>
      <c r="V326" s="19"/>
    </row>
    <row r="327" spans="1:24">
      <c r="A327" s="15" t="s">
        <v>24</v>
      </c>
      <c r="B327" s="25">
        <v>46136</v>
      </c>
      <c r="C327" s="17">
        <v>0.37361111111111112</v>
      </c>
      <c r="D327" s="25">
        <v>46137</v>
      </c>
      <c r="E327" s="17">
        <v>0.31527777777777777</v>
      </c>
      <c r="F327" s="25"/>
      <c r="G327" s="25"/>
      <c r="H327" s="18" t="s">
        <v>478</v>
      </c>
      <c r="I327" s="18" t="s">
        <v>26</v>
      </c>
      <c r="J327" s="18" t="s">
        <v>478</v>
      </c>
      <c r="K327" s="18" t="s">
        <v>479</v>
      </c>
      <c r="L327" s="18"/>
      <c r="M327" s="18"/>
      <c r="N327" s="18"/>
      <c r="O327" s="18"/>
      <c r="P327" s="18" t="s">
        <v>61</v>
      </c>
      <c r="Q327" s="18" t="s">
        <v>62</v>
      </c>
      <c r="R327" s="18"/>
      <c r="S327" s="18"/>
      <c r="T327" s="18"/>
      <c r="U327" s="19"/>
      <c r="V327" s="19"/>
    </row>
    <row r="328" spans="1:24">
      <c r="A328" s="15" t="s">
        <v>24</v>
      </c>
      <c r="B328" s="25">
        <v>46139</v>
      </c>
      <c r="C328" s="17">
        <v>0.36041666666666666</v>
      </c>
      <c r="D328" s="25">
        <v>46139</v>
      </c>
      <c r="E328" s="17">
        <v>0.36736111111111114</v>
      </c>
      <c r="F328" s="25"/>
      <c r="G328" s="25"/>
      <c r="H328" s="18" t="s">
        <v>62</v>
      </c>
      <c r="I328" s="18" t="s">
        <v>75</v>
      </c>
      <c r="J328" s="18" t="s">
        <v>480</v>
      </c>
      <c r="K328" s="18">
        <v>3177312205</v>
      </c>
      <c r="L328" s="18" t="s">
        <v>75</v>
      </c>
      <c r="M328" s="18" t="s">
        <v>76</v>
      </c>
      <c r="N328" s="18"/>
      <c r="O328" s="18"/>
      <c r="P328" s="18" t="s">
        <v>61</v>
      </c>
      <c r="Q328" s="18" t="s">
        <v>62</v>
      </c>
      <c r="R328" s="18" t="s">
        <v>62</v>
      </c>
      <c r="S328" s="18"/>
      <c r="T328" s="18"/>
      <c r="U328" s="19"/>
      <c r="V328" s="19" t="s">
        <v>481</v>
      </c>
    </row>
    <row r="329" spans="1:24">
      <c r="A329" s="31" t="s">
        <v>24</v>
      </c>
      <c r="B329" s="32">
        <v>46137</v>
      </c>
      <c r="C329" s="34">
        <v>0.77916666666666667</v>
      </c>
      <c r="D329" s="32">
        <v>46139</v>
      </c>
      <c r="E329" s="34">
        <v>0.37569444444444444</v>
      </c>
      <c r="F329" s="32"/>
      <c r="G329" s="32"/>
      <c r="H329" s="29" t="s">
        <v>482</v>
      </c>
      <c r="I329" s="29" t="s">
        <v>26</v>
      </c>
      <c r="J329" s="29" t="s">
        <v>482</v>
      </c>
      <c r="K329" s="29">
        <v>3182527295</v>
      </c>
      <c r="L329" s="35" t="s">
        <v>49</v>
      </c>
      <c r="M329" s="29"/>
      <c r="N329" s="29"/>
      <c r="O329" s="29"/>
      <c r="P329" s="29"/>
      <c r="Q329" s="29"/>
      <c r="R329" s="29"/>
      <c r="S329" s="29"/>
      <c r="T329" s="29"/>
      <c r="U329" s="30"/>
      <c r="V329" s="30"/>
      <c r="W329" s="33"/>
      <c r="X329" s="33"/>
    </row>
  </sheetData>
  <pageMargins left="0.7" right="0.7" top="0.75" bottom="0.75" header="0.3" footer="0.3"/>
  <pageSetup scale="64" orientation="portrait" verticalDpi="0" r:id="rId1"/>
  <colBreaks count="2" manualBreakCount="2">
    <brk id="5" max="282" man="1"/>
    <brk id="13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4D43D7C-A1B3-4CC1-9A9A-F93208BC39A7}">
          <x14:formula1>
            <xm:f>Glosario!$M$2:$M$9</xm:f>
          </x14:formula1>
          <xm:sqref>Q1:Q1048576</xm:sqref>
        </x14:dataValidation>
        <x14:dataValidation type="list" allowBlank="1" showInputMessage="1" showErrorMessage="1" xr:uid="{C58E4F20-68C0-417D-9058-1522A8DA1201}">
          <x14:formula1>
            <xm:f>Glosario!$C$2:$C$13</xm:f>
          </x14:formula1>
          <xm:sqref>P1:P1048576</xm:sqref>
        </x14:dataValidation>
        <x14:dataValidation type="list" allowBlank="1" showInputMessage="1" showErrorMessage="1" xr:uid="{51638920-3B27-48B5-A918-17E0D02D710F}">
          <x14:formula1>
            <xm:f>Glosario!$F$2:$F$8</xm:f>
          </x14:formula1>
          <xm:sqref>I1:I206 I287:I1048576</xm:sqref>
        </x14:dataValidation>
        <x14:dataValidation type="list" allowBlank="1" showInputMessage="1" showErrorMessage="1" xr:uid="{455D39EB-EEB9-4EC6-BECD-AD8A8FCAFEAB}">
          <x14:formula1>
            <xm:f>Glosario!$A$2:$A$20</xm:f>
          </x14:formula1>
          <xm:sqref>M1:M1048576</xm:sqref>
        </x14:dataValidation>
        <x14:dataValidation type="list" allowBlank="1" showInputMessage="1" showErrorMessage="1" xr:uid="{8AF4A396-4DF0-4AAF-960E-CD15CBF66A6D}">
          <x14:formula1>
            <xm:f>Glosario!$K$2:$K$10</xm:f>
          </x14:formula1>
          <xm:sqref>L2:L329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9A03-ECAA-4F5A-8B42-DE82986E8B1D}">
  <dimension ref="A1:D76"/>
  <sheetViews>
    <sheetView workbookViewId="0"/>
  </sheetViews>
  <sheetFormatPr defaultColWidth="9.140625" defaultRowHeight="15"/>
  <cols>
    <col min="1" max="1" width="22.140625" bestFit="1" customWidth="1"/>
    <col min="2" max="4" width="25.7109375" bestFit="1" customWidth="1"/>
    <col min="5" max="5" width="18.42578125" bestFit="1" customWidth="1"/>
    <col min="6" max="6" width="14.42578125" bestFit="1" customWidth="1"/>
    <col min="7" max="7" width="14.140625" bestFit="1" customWidth="1"/>
    <col min="8" max="8" width="16.28515625" bestFit="1" customWidth="1"/>
    <col min="9" max="9" width="11.28515625" bestFit="1" customWidth="1"/>
    <col min="10" max="10" width="15" bestFit="1" customWidth="1"/>
    <col min="11" max="11" width="14" bestFit="1" customWidth="1"/>
    <col min="12" max="12" width="12.85546875" bestFit="1" customWidth="1"/>
    <col min="13" max="13" width="16.28515625" bestFit="1" customWidth="1"/>
    <col min="14" max="14" width="16.42578125" bestFit="1" customWidth="1"/>
    <col min="15" max="15" width="11.28515625" bestFit="1" customWidth="1"/>
    <col min="16" max="16" width="15" bestFit="1" customWidth="1"/>
    <col min="17" max="17" width="14" bestFit="1" customWidth="1"/>
    <col min="18" max="18" width="11.140625" bestFit="1" customWidth="1"/>
    <col min="19" max="19" width="12.85546875" bestFit="1" customWidth="1"/>
    <col min="20" max="20" width="9" bestFit="1" customWidth="1"/>
    <col min="21" max="21" width="10.5703125" bestFit="1" customWidth="1"/>
    <col min="22" max="22" width="9.42578125" bestFit="1" customWidth="1"/>
    <col min="23" max="23" width="8.140625" bestFit="1" customWidth="1"/>
    <col min="24" max="24" width="3.5703125" bestFit="1" customWidth="1"/>
    <col min="25" max="25" width="12.140625" bestFit="1" customWidth="1"/>
    <col min="26" max="26" width="11.85546875" bestFit="1" customWidth="1"/>
    <col min="27" max="27" width="11" bestFit="1" customWidth="1"/>
    <col min="28" max="28" width="6.5703125" bestFit="1" customWidth="1"/>
    <col min="29" max="29" width="16.140625" bestFit="1" customWidth="1"/>
    <col min="30" max="30" width="18.5703125" bestFit="1" customWidth="1"/>
    <col min="31" max="31" width="8.28515625" bestFit="1" customWidth="1"/>
    <col min="32" max="32" width="10.85546875" bestFit="1" customWidth="1"/>
    <col min="33" max="33" width="7.5703125" bestFit="1" customWidth="1"/>
    <col min="34" max="34" width="24.140625" bestFit="1" customWidth="1"/>
    <col min="35" max="35" width="5.140625" bestFit="1" customWidth="1"/>
    <col min="36" max="36" width="14.140625" bestFit="1" customWidth="1"/>
    <col min="37" max="37" width="11" bestFit="1" customWidth="1"/>
    <col min="38" max="38" width="17.42578125" bestFit="1" customWidth="1"/>
    <col min="39" max="39" width="6.28515625" bestFit="1" customWidth="1"/>
    <col min="40" max="40" width="16.28515625" bestFit="1" customWidth="1"/>
    <col min="41" max="41" width="8.85546875" bestFit="1" customWidth="1"/>
    <col min="42" max="42" width="11.28515625" bestFit="1" customWidth="1"/>
    <col min="43" max="43" width="23.7109375" bestFit="1" customWidth="1"/>
    <col min="44" max="44" width="17" bestFit="1" customWidth="1"/>
    <col min="45" max="45" width="14.28515625" bestFit="1" customWidth="1"/>
    <col min="46" max="46" width="5.140625" bestFit="1" customWidth="1"/>
    <col min="47" max="47" width="14.85546875" bestFit="1" customWidth="1"/>
    <col min="48" max="48" width="20.7109375" bestFit="1" customWidth="1"/>
    <col min="49" max="49" width="12.42578125" bestFit="1" customWidth="1"/>
    <col min="50" max="50" width="15.5703125" bestFit="1" customWidth="1"/>
    <col min="51" max="51" width="14.140625" bestFit="1" customWidth="1"/>
    <col min="52" max="52" width="13.5703125" bestFit="1" customWidth="1"/>
    <col min="53" max="53" width="15.140625" bestFit="1" customWidth="1"/>
    <col min="54" max="54" width="12.85546875" bestFit="1" customWidth="1"/>
    <col min="55" max="55" width="14.85546875" bestFit="1" customWidth="1"/>
    <col min="56" max="56" width="19" bestFit="1" customWidth="1"/>
    <col min="57" max="57" width="23.85546875" bestFit="1" customWidth="1"/>
    <col min="58" max="58" width="19.28515625" bestFit="1" customWidth="1"/>
    <col min="59" max="59" width="14.5703125" bestFit="1" customWidth="1"/>
    <col min="60" max="60" width="11.28515625" bestFit="1" customWidth="1"/>
    <col min="61" max="61" width="22.5703125" bestFit="1" customWidth="1"/>
    <col min="62" max="62" width="13.28515625" bestFit="1" customWidth="1"/>
    <col min="63" max="63" width="11.28515625" bestFit="1" customWidth="1"/>
    <col min="64" max="64" width="6.7109375" bestFit="1" customWidth="1"/>
    <col min="65" max="65" width="11.28515625" bestFit="1" customWidth="1"/>
    <col min="66" max="66" width="12.5703125" bestFit="1" customWidth="1"/>
    <col min="67" max="67" width="7" bestFit="1" customWidth="1"/>
    <col min="68" max="68" width="15.7109375" bestFit="1" customWidth="1"/>
    <col min="69" max="69" width="12" bestFit="1" customWidth="1"/>
    <col min="70" max="70" width="10.5703125" bestFit="1" customWidth="1"/>
    <col min="71" max="71" width="6.7109375" bestFit="1" customWidth="1"/>
    <col min="72" max="72" width="18.140625" bestFit="1" customWidth="1"/>
    <col min="73" max="73" width="22.85546875" bestFit="1" customWidth="1"/>
    <col min="75" max="75" width="9.42578125" bestFit="1" customWidth="1"/>
    <col min="76" max="76" width="19.5703125" bestFit="1" customWidth="1"/>
    <col min="77" max="77" width="8" bestFit="1" customWidth="1"/>
    <col min="78" max="78" width="20.28515625" bestFit="1" customWidth="1"/>
    <col min="79" max="79" width="19.42578125" bestFit="1" customWidth="1"/>
    <col min="80" max="80" width="7.85546875" bestFit="1" customWidth="1"/>
    <col min="81" max="81" width="14.42578125" bestFit="1" customWidth="1"/>
    <col min="82" max="82" width="10.5703125" bestFit="1" customWidth="1"/>
    <col min="83" max="83" width="27" bestFit="1" customWidth="1"/>
    <col min="84" max="84" width="15.5703125" bestFit="1" customWidth="1"/>
    <col min="85" max="85" width="23.5703125" bestFit="1" customWidth="1"/>
    <col min="86" max="86" width="13.5703125" bestFit="1" customWidth="1"/>
    <col min="87" max="87" width="19.28515625" bestFit="1" customWidth="1"/>
    <col min="88" max="88" width="20" bestFit="1" customWidth="1"/>
    <col min="89" max="89" width="17" bestFit="1" customWidth="1"/>
    <col min="90" max="90" width="13.42578125" bestFit="1" customWidth="1"/>
    <col min="91" max="91" width="24.5703125" bestFit="1" customWidth="1"/>
    <col min="92" max="92" width="13.42578125" bestFit="1" customWidth="1"/>
    <col min="93" max="93" width="8.85546875" bestFit="1" customWidth="1"/>
    <col min="94" max="94" width="17.85546875" bestFit="1" customWidth="1"/>
    <col min="95" max="95" width="16.28515625" bestFit="1" customWidth="1"/>
    <col min="96" max="96" width="10" bestFit="1" customWidth="1"/>
    <col min="97" max="97" width="8.42578125" bestFit="1" customWidth="1"/>
    <col min="98" max="98" width="16.7109375" bestFit="1" customWidth="1"/>
    <col min="99" max="99" width="21.5703125" bestFit="1" customWidth="1"/>
    <col min="100" max="100" width="7.42578125" bestFit="1" customWidth="1"/>
    <col min="101" max="101" width="15.85546875" bestFit="1" customWidth="1"/>
    <col min="102" max="102" width="5.28515625" bestFit="1" customWidth="1"/>
    <col min="103" max="103" width="17.5703125" bestFit="1" customWidth="1"/>
    <col min="104" max="104" width="17.140625" bestFit="1" customWidth="1"/>
    <col min="105" max="105" width="15.42578125" bestFit="1" customWidth="1"/>
    <col min="106" max="106" width="25.7109375" bestFit="1" customWidth="1"/>
    <col min="107" max="107" width="11.85546875" bestFit="1" customWidth="1"/>
    <col min="108" max="108" width="7.5703125" bestFit="1" customWidth="1"/>
    <col min="109" max="109" width="11.140625" bestFit="1" customWidth="1"/>
    <col min="110" max="110" width="12.85546875" bestFit="1" customWidth="1"/>
  </cols>
  <sheetData>
    <row r="1" spans="1:4">
      <c r="A1" s="23" t="s">
        <v>16</v>
      </c>
      <c r="B1" t="s">
        <v>66</v>
      </c>
    </row>
    <row r="3" spans="1:4">
      <c r="A3" s="23" t="s">
        <v>7</v>
      </c>
      <c r="B3" s="23" t="s">
        <v>12</v>
      </c>
      <c r="C3" s="23" t="s">
        <v>5</v>
      </c>
      <c r="D3" s="23" t="s">
        <v>17</v>
      </c>
    </row>
    <row r="4" spans="1:4">
      <c r="A4" t="s">
        <v>70</v>
      </c>
      <c r="B4" t="s">
        <v>65</v>
      </c>
      <c r="C4" s="24">
        <v>46087</v>
      </c>
      <c r="D4" t="s">
        <v>36</v>
      </c>
    </row>
    <row r="5" spans="1:4">
      <c r="C5" t="s">
        <v>483</v>
      </c>
    </row>
    <row r="6" spans="1:4">
      <c r="B6" t="s">
        <v>484</v>
      </c>
    </row>
    <row r="7" spans="1:4">
      <c r="A7" t="s">
        <v>485</v>
      </c>
    </row>
    <row r="8" spans="1:4">
      <c r="A8" t="s">
        <v>207</v>
      </c>
      <c r="B8" t="s">
        <v>56</v>
      </c>
      <c r="C8" s="24">
        <v>46100</v>
      </c>
      <c r="D8" t="s">
        <v>36</v>
      </c>
    </row>
    <row r="9" spans="1:4">
      <c r="C9" t="s">
        <v>486</v>
      </c>
    </row>
    <row r="10" spans="1:4">
      <c r="B10" t="s">
        <v>487</v>
      </c>
    </row>
    <row r="11" spans="1:4">
      <c r="A11" t="s">
        <v>488</v>
      </c>
    </row>
    <row r="12" spans="1:4">
      <c r="A12" t="s">
        <v>197</v>
      </c>
      <c r="B12" t="s">
        <v>65</v>
      </c>
      <c r="C12" s="24">
        <v>46106</v>
      </c>
      <c r="D12" t="s">
        <v>158</v>
      </c>
    </row>
    <row r="13" spans="1:4">
      <c r="C13" t="s">
        <v>489</v>
      </c>
    </row>
    <row r="14" spans="1:4">
      <c r="B14" t="s">
        <v>484</v>
      </c>
    </row>
    <row r="15" spans="1:4">
      <c r="A15" t="s">
        <v>490</v>
      </c>
    </row>
    <row r="16" spans="1:4">
      <c r="A16" t="s">
        <v>255</v>
      </c>
      <c r="B16" t="s">
        <v>35</v>
      </c>
      <c r="C16" s="24">
        <v>46113</v>
      </c>
      <c r="D16" t="s">
        <v>45</v>
      </c>
    </row>
    <row r="17" spans="1:4">
      <c r="C17" t="s">
        <v>491</v>
      </c>
    </row>
    <row r="18" spans="1:4">
      <c r="B18" t="s">
        <v>492</v>
      </c>
    </row>
    <row r="19" spans="1:4">
      <c r="A19" t="s">
        <v>493</v>
      </c>
    </row>
    <row r="20" spans="1:4">
      <c r="A20" t="s">
        <v>183</v>
      </c>
      <c r="B20" t="s">
        <v>56</v>
      </c>
      <c r="C20" s="24">
        <v>46095</v>
      </c>
      <c r="D20" t="s">
        <v>57</v>
      </c>
    </row>
    <row r="21" spans="1:4">
      <c r="C21" t="s">
        <v>494</v>
      </c>
    </row>
    <row r="22" spans="1:4">
      <c r="B22" t="s">
        <v>487</v>
      </c>
    </row>
    <row r="23" spans="1:4">
      <c r="A23" t="s">
        <v>495</v>
      </c>
    </row>
    <row r="24" spans="1:4">
      <c r="A24" t="s">
        <v>64</v>
      </c>
      <c r="B24" t="s">
        <v>65</v>
      </c>
      <c r="C24" s="24">
        <v>46080</v>
      </c>
      <c r="D24" t="s">
        <v>67</v>
      </c>
    </row>
    <row r="25" spans="1:4">
      <c r="C25" t="s">
        <v>496</v>
      </c>
    </row>
    <row r="26" spans="1:4">
      <c r="B26" t="s">
        <v>484</v>
      </c>
    </row>
    <row r="27" spans="1:4">
      <c r="A27" t="s">
        <v>497</v>
      </c>
    </row>
    <row r="28" spans="1:4">
      <c r="A28" t="s">
        <v>38</v>
      </c>
      <c r="B28" t="s">
        <v>35</v>
      </c>
      <c r="C28" s="24">
        <v>46059</v>
      </c>
      <c r="D28" t="s">
        <v>36</v>
      </c>
    </row>
    <row r="29" spans="1:4">
      <c r="C29" t="s">
        <v>498</v>
      </c>
    </row>
    <row r="30" spans="1:4">
      <c r="B30" t="s">
        <v>492</v>
      </c>
    </row>
    <row r="31" spans="1:4">
      <c r="A31" t="s">
        <v>499</v>
      </c>
    </row>
    <row r="32" spans="1:4">
      <c r="A32" t="s">
        <v>143</v>
      </c>
      <c r="B32" t="s">
        <v>35</v>
      </c>
      <c r="C32" s="24">
        <v>46087</v>
      </c>
      <c r="D32" t="s">
        <v>57</v>
      </c>
    </row>
    <row r="33" spans="1:4">
      <c r="C33" t="s">
        <v>483</v>
      </c>
    </row>
    <row r="34" spans="1:4">
      <c r="B34" t="s">
        <v>492</v>
      </c>
    </row>
    <row r="35" spans="1:4">
      <c r="A35" t="s">
        <v>500</v>
      </c>
    </row>
    <row r="36" spans="1:4">
      <c r="A36" t="s">
        <v>189</v>
      </c>
      <c r="B36" t="s">
        <v>190</v>
      </c>
      <c r="C36" s="24">
        <v>46107</v>
      </c>
      <c r="D36" t="s">
        <v>36</v>
      </c>
    </row>
    <row r="37" spans="1:4">
      <c r="C37" t="s">
        <v>501</v>
      </c>
    </row>
    <row r="38" spans="1:4">
      <c r="B38" t="s">
        <v>502</v>
      </c>
    </row>
    <row r="39" spans="1:4">
      <c r="A39" t="s">
        <v>503</v>
      </c>
    </row>
    <row r="40" spans="1:4">
      <c r="A40" t="s">
        <v>259</v>
      </c>
      <c r="B40" t="s">
        <v>35</v>
      </c>
      <c r="C40" s="24">
        <v>46112</v>
      </c>
      <c r="D40" t="s">
        <v>260</v>
      </c>
    </row>
    <row r="41" spans="1:4">
      <c r="C41" t="s">
        <v>504</v>
      </c>
    </row>
    <row r="42" spans="1:4">
      <c r="B42" t="s">
        <v>492</v>
      </c>
    </row>
    <row r="43" spans="1:4">
      <c r="A43" t="s">
        <v>505</v>
      </c>
    </row>
    <row r="44" spans="1:4">
      <c r="A44" t="s">
        <v>137</v>
      </c>
      <c r="B44" t="s">
        <v>56</v>
      </c>
      <c r="C44" s="24">
        <v>46086</v>
      </c>
      <c r="D44" t="s">
        <v>57</v>
      </c>
    </row>
    <row r="45" spans="1:4">
      <c r="C45" t="s">
        <v>506</v>
      </c>
    </row>
    <row r="46" spans="1:4">
      <c r="B46" t="s">
        <v>487</v>
      </c>
    </row>
    <row r="47" spans="1:4">
      <c r="A47" t="s">
        <v>507</v>
      </c>
    </row>
    <row r="48" spans="1:4">
      <c r="A48" t="s">
        <v>202</v>
      </c>
      <c r="B48" t="s">
        <v>35</v>
      </c>
      <c r="C48" s="24">
        <v>46107</v>
      </c>
      <c r="D48" t="s">
        <v>36</v>
      </c>
    </row>
    <row r="49" spans="1:4">
      <c r="C49" t="s">
        <v>501</v>
      </c>
    </row>
    <row r="50" spans="1:4">
      <c r="B50" t="s">
        <v>492</v>
      </c>
    </row>
    <row r="51" spans="1:4">
      <c r="A51" t="s">
        <v>508</v>
      </c>
    </row>
    <row r="52" spans="1:4">
      <c r="A52" t="s">
        <v>148</v>
      </c>
      <c r="B52" t="s">
        <v>65</v>
      </c>
      <c r="C52" s="24">
        <v>46090</v>
      </c>
      <c r="D52" t="s">
        <v>149</v>
      </c>
    </row>
    <row r="53" spans="1:4">
      <c r="C53" t="s">
        <v>509</v>
      </c>
    </row>
    <row r="54" spans="1:4">
      <c r="B54" t="s">
        <v>484</v>
      </c>
    </row>
    <row r="55" spans="1:4">
      <c r="A55" t="s">
        <v>510</v>
      </c>
    </row>
    <row r="56" spans="1:4">
      <c r="A56" t="s">
        <v>150</v>
      </c>
      <c r="B56" t="s">
        <v>35</v>
      </c>
      <c r="C56" s="24">
        <v>46090</v>
      </c>
      <c r="D56" t="s">
        <v>105</v>
      </c>
    </row>
    <row r="57" spans="1:4">
      <c r="C57" t="s">
        <v>509</v>
      </c>
    </row>
    <row r="58" spans="1:4">
      <c r="B58" t="s">
        <v>492</v>
      </c>
    </row>
    <row r="59" spans="1:4">
      <c r="A59" t="s">
        <v>511</v>
      </c>
    </row>
    <row r="60" spans="1:4">
      <c r="A60" t="s">
        <v>271</v>
      </c>
      <c r="B60" t="s">
        <v>35</v>
      </c>
      <c r="C60" s="24">
        <v>46113</v>
      </c>
      <c r="D60" t="s">
        <v>54</v>
      </c>
    </row>
    <row r="61" spans="1:4">
      <c r="C61" t="s">
        <v>491</v>
      </c>
    </row>
    <row r="62" spans="1:4">
      <c r="B62" t="s">
        <v>492</v>
      </c>
    </row>
    <row r="63" spans="1:4">
      <c r="A63" t="s">
        <v>512</v>
      </c>
    </row>
    <row r="64" spans="1:4">
      <c r="A64" t="s">
        <v>258</v>
      </c>
      <c r="B64" t="s">
        <v>35</v>
      </c>
      <c r="C64" s="24">
        <v>46112</v>
      </c>
      <c r="D64" t="s">
        <v>158</v>
      </c>
    </row>
    <row r="65" spans="1:4">
      <c r="C65" t="s">
        <v>504</v>
      </c>
    </row>
    <row r="66" spans="1:4">
      <c r="B66" t="s">
        <v>492</v>
      </c>
    </row>
    <row r="67" spans="1:4">
      <c r="A67" t="s">
        <v>513</v>
      </c>
    </row>
    <row r="68" spans="1:4">
      <c r="A68" t="s">
        <v>156</v>
      </c>
      <c r="B68" t="s">
        <v>35</v>
      </c>
      <c r="C68" s="24">
        <v>46090</v>
      </c>
      <c r="D68" t="s">
        <v>158</v>
      </c>
    </row>
    <row r="69" spans="1:4">
      <c r="C69" t="s">
        <v>509</v>
      </c>
    </row>
    <row r="70" spans="1:4">
      <c r="B70" t="s">
        <v>492</v>
      </c>
    </row>
    <row r="71" spans="1:4">
      <c r="A71" t="s">
        <v>514</v>
      </c>
    </row>
    <row r="72" spans="1:4">
      <c r="A72" t="s">
        <v>104</v>
      </c>
      <c r="B72" t="s">
        <v>35</v>
      </c>
      <c r="C72" s="24">
        <v>46084</v>
      </c>
      <c r="D72" t="s">
        <v>105</v>
      </c>
    </row>
    <row r="73" spans="1:4">
      <c r="C73" t="s">
        <v>515</v>
      </c>
    </row>
    <row r="74" spans="1:4">
      <c r="B74" t="s">
        <v>492</v>
      </c>
    </row>
    <row r="75" spans="1:4">
      <c r="A75" t="s">
        <v>516</v>
      </c>
    </row>
    <row r="76" spans="1:4">
      <c r="A76" t="s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A305-334F-4716-9D07-6A8B74E7F902}">
  <dimension ref="A1:Q21"/>
  <sheetViews>
    <sheetView topLeftCell="G1" workbookViewId="0">
      <selection activeCell="K9" sqref="K9"/>
    </sheetView>
  </sheetViews>
  <sheetFormatPr defaultColWidth="11.42578125" defaultRowHeight="15"/>
  <cols>
    <col min="1" max="1" width="33.140625" bestFit="1" customWidth="1"/>
    <col min="3" max="3" width="22.5703125" bestFit="1" customWidth="1"/>
    <col min="4" max="4" width="68.28515625" bestFit="1" customWidth="1"/>
    <col min="6" max="6" width="16.7109375" bestFit="1" customWidth="1"/>
    <col min="7" max="7" width="110.5703125" bestFit="1" customWidth="1"/>
    <col min="9" max="9" width="13.42578125" bestFit="1" customWidth="1"/>
    <col min="11" max="11" width="20.28515625" bestFit="1" customWidth="1"/>
    <col min="13" max="13" width="21" customWidth="1"/>
    <col min="15" max="15" width="20.85546875" bestFit="1" customWidth="1"/>
    <col min="17" max="17" width="20.85546875" bestFit="1" customWidth="1"/>
  </cols>
  <sheetData>
    <row r="1" spans="1:17">
      <c r="A1" t="s">
        <v>12</v>
      </c>
      <c r="C1" t="s">
        <v>15</v>
      </c>
      <c r="D1" t="s">
        <v>518</v>
      </c>
      <c r="F1" t="s">
        <v>8</v>
      </c>
      <c r="G1" t="s">
        <v>518</v>
      </c>
      <c r="I1" t="s">
        <v>519</v>
      </c>
      <c r="K1" t="s">
        <v>11</v>
      </c>
      <c r="M1" t="s">
        <v>520</v>
      </c>
      <c r="O1" t="s">
        <v>22</v>
      </c>
      <c r="Q1" t="s">
        <v>23</v>
      </c>
    </row>
    <row r="2" spans="1:17">
      <c r="A2" s="1" t="s">
        <v>35</v>
      </c>
      <c r="C2" t="s">
        <v>521</v>
      </c>
      <c r="D2" t="s">
        <v>522</v>
      </c>
      <c r="F2" t="s">
        <v>26</v>
      </c>
      <c r="G2" t="s">
        <v>523</v>
      </c>
      <c r="I2" t="s">
        <v>452</v>
      </c>
      <c r="K2" t="s">
        <v>27</v>
      </c>
      <c r="M2" t="s">
        <v>42</v>
      </c>
      <c r="O2" t="s">
        <v>167</v>
      </c>
      <c r="Q2" t="s">
        <v>167</v>
      </c>
    </row>
    <row r="3" spans="1:17">
      <c r="A3" s="2" t="s">
        <v>28</v>
      </c>
      <c r="C3" t="s">
        <v>61</v>
      </c>
      <c r="D3" t="s">
        <v>524</v>
      </c>
      <c r="F3" t="s">
        <v>165</v>
      </c>
      <c r="G3" t="s">
        <v>525</v>
      </c>
      <c r="I3" t="s">
        <v>526</v>
      </c>
      <c r="K3" t="s">
        <v>49</v>
      </c>
      <c r="M3" t="s">
        <v>113</v>
      </c>
      <c r="O3" t="s">
        <v>248</v>
      </c>
      <c r="Q3" t="s">
        <v>248</v>
      </c>
    </row>
    <row r="4" spans="1:17">
      <c r="A4" s="1" t="s">
        <v>72</v>
      </c>
      <c r="C4" t="s">
        <v>527</v>
      </c>
      <c r="D4" t="s">
        <v>528</v>
      </c>
      <c r="F4" t="s">
        <v>529</v>
      </c>
      <c r="G4" t="s">
        <v>530</v>
      </c>
      <c r="I4" t="s">
        <v>370</v>
      </c>
      <c r="K4" t="s">
        <v>531</v>
      </c>
      <c r="M4" t="s">
        <v>147</v>
      </c>
      <c r="O4" t="s">
        <v>445</v>
      </c>
      <c r="Q4" t="s">
        <v>445</v>
      </c>
    </row>
    <row r="5" spans="1:17">
      <c r="A5" s="2" t="s">
        <v>65</v>
      </c>
      <c r="C5" t="s">
        <v>30</v>
      </c>
      <c r="D5" t="s">
        <v>532</v>
      </c>
      <c r="F5" t="s">
        <v>533</v>
      </c>
      <c r="I5" t="s">
        <v>385</v>
      </c>
      <c r="K5" t="s">
        <v>91</v>
      </c>
      <c r="M5" t="s">
        <v>110</v>
      </c>
    </row>
    <row r="6" spans="1:17">
      <c r="A6" s="2" t="s">
        <v>534</v>
      </c>
      <c r="C6" t="s">
        <v>41</v>
      </c>
      <c r="D6" t="s">
        <v>535</v>
      </c>
      <c r="F6" t="s">
        <v>99</v>
      </c>
      <c r="I6" t="s">
        <v>536</v>
      </c>
      <c r="K6" t="s">
        <v>81</v>
      </c>
      <c r="M6" t="s">
        <v>31</v>
      </c>
    </row>
    <row r="7" spans="1:17">
      <c r="A7" s="1" t="s">
        <v>108</v>
      </c>
      <c r="C7" t="s">
        <v>313</v>
      </c>
      <c r="D7" t="s">
        <v>537</v>
      </c>
      <c r="F7" t="s">
        <v>80</v>
      </c>
      <c r="I7" t="s">
        <v>538</v>
      </c>
      <c r="K7" t="s">
        <v>101</v>
      </c>
      <c r="M7" t="s">
        <v>62</v>
      </c>
    </row>
    <row r="8" spans="1:17">
      <c r="A8" s="1" t="s">
        <v>56</v>
      </c>
      <c r="C8" t="s">
        <v>539</v>
      </c>
      <c r="F8" t="s">
        <v>75</v>
      </c>
      <c r="I8" t="s">
        <v>160</v>
      </c>
      <c r="K8" t="s">
        <v>540</v>
      </c>
      <c r="M8" t="s">
        <v>378</v>
      </c>
    </row>
    <row r="9" spans="1:17">
      <c r="A9" s="2" t="s">
        <v>180</v>
      </c>
      <c r="C9" t="s">
        <v>541</v>
      </c>
      <c r="D9" t="s">
        <v>542</v>
      </c>
      <c r="I9" t="s">
        <v>543</v>
      </c>
      <c r="K9" t="s">
        <v>75</v>
      </c>
      <c r="M9" t="s">
        <v>244</v>
      </c>
    </row>
    <row r="10" spans="1:17">
      <c r="A10" s="1" t="s">
        <v>89</v>
      </c>
      <c r="C10" t="s">
        <v>109</v>
      </c>
      <c r="D10" t="s">
        <v>544</v>
      </c>
      <c r="I10" t="s">
        <v>545</v>
      </c>
      <c r="K10" t="s">
        <v>546</v>
      </c>
    </row>
    <row r="11" spans="1:17">
      <c r="A11" t="s">
        <v>547</v>
      </c>
      <c r="C11" t="s">
        <v>548</v>
      </c>
      <c r="D11" t="s">
        <v>549</v>
      </c>
    </row>
    <row r="12" spans="1:17">
      <c r="A12" t="s">
        <v>190</v>
      </c>
      <c r="C12" t="s">
        <v>550</v>
      </c>
      <c r="D12" t="s">
        <v>551</v>
      </c>
    </row>
    <row r="13" spans="1:17">
      <c r="A13" s="1" t="s">
        <v>552</v>
      </c>
      <c r="C13" t="s">
        <v>212</v>
      </c>
    </row>
    <row r="14" spans="1:17">
      <c r="A14" s="2" t="s">
        <v>553</v>
      </c>
      <c r="C14" t="s">
        <v>244</v>
      </c>
    </row>
    <row r="15" spans="1:17">
      <c r="A15" s="1" t="s">
        <v>554</v>
      </c>
    </row>
    <row r="16" spans="1:17">
      <c r="A16" s="2" t="s">
        <v>555</v>
      </c>
    </row>
    <row r="17" spans="1:1">
      <c r="A17" s="1" t="s">
        <v>556</v>
      </c>
    </row>
    <row r="18" spans="1:1">
      <c r="A18" s="2" t="s">
        <v>82</v>
      </c>
    </row>
    <row r="19" spans="1:1">
      <c r="A19" t="s">
        <v>476</v>
      </c>
    </row>
    <row r="20" spans="1:1">
      <c r="A20" t="s">
        <v>76</v>
      </c>
    </row>
    <row r="21" spans="1:1">
      <c r="A21" t="s">
        <v>557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Vera Gomez</dc:creator>
  <cp:keywords/>
  <dc:description/>
  <cp:lastModifiedBy>Daniela Galvez</cp:lastModifiedBy>
  <cp:revision/>
  <dcterms:created xsi:type="dcterms:W3CDTF">2026-04-15T14:18:38Z</dcterms:created>
  <dcterms:modified xsi:type="dcterms:W3CDTF">2026-04-27T14:32:18Z</dcterms:modified>
  <cp:category/>
  <cp:contentStatus/>
</cp:coreProperties>
</file>